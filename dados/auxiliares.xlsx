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https://factofundacao-my.sharepoint.com/personal/katarina_lemos_facto_org_br/Documents/Área de Trabalho/my_codes/precificacao_doa/dados/"/>
    </mc:Choice>
  </mc:AlternateContent>
  <xr:revisionPtr revIDLastSave="48" documentId="8_{F0DCD92E-0CA8-4F9A-B9FD-597F54C575EF}" xr6:coauthVersionLast="47" xr6:coauthVersionMax="47" xr10:uidLastSave="{4F95F20A-AA2F-4009-B4EA-46852C6B77E0}"/>
  <bookViews>
    <workbookView xWindow="-120" yWindow="-120" windowWidth="29040" windowHeight="15720" tabRatio="812" activeTab="6" xr2:uid="{00000000-000D-0000-FFFF-FFFF00000000}"/>
  </bookViews>
  <sheets>
    <sheet name="CLASSIFICAÇÃO DE BOLSAS" sheetId="25" r:id="rId1"/>
    <sheet name="aux_bolsas" sheetId="30" r:id="rId2"/>
    <sheet name="CLASSIFICAÇÃO DE DESPESAS" sheetId="26" r:id="rId3"/>
    <sheet name="aux_despesas" sheetId="31" r:id="rId4"/>
    <sheet name="CLASSIFICAÇÃO E VALORES DE DIÁR" sheetId="27" r:id="rId5"/>
    <sheet name="aux_diarias" sheetId="32" r:id="rId6"/>
    <sheet name="aux_passagem" sheetId="33" r:id="rId7"/>
    <sheet name="CLASSIFICAÇÃO PASSAGENS " sheetId="2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7" l="1"/>
  <c r="K41" i="25" l="1"/>
  <c r="K40" i="25"/>
  <c r="K39" i="25"/>
  <c r="K38" i="25"/>
  <c r="K37" i="25"/>
  <c r="K36" i="25"/>
  <c r="O35" i="25"/>
  <c r="N35" i="25"/>
  <c r="M35" i="25"/>
  <c r="L35" i="25"/>
  <c r="K35" i="25"/>
  <c r="O34" i="25"/>
  <c r="N34" i="25"/>
  <c r="M34" i="25"/>
  <c r="L34" i="25"/>
  <c r="K34" i="25"/>
  <c r="O33" i="25"/>
  <c r="N33" i="25"/>
  <c r="M33" i="25"/>
  <c r="L33" i="25"/>
  <c r="K33" i="25"/>
  <c r="N32" i="25"/>
  <c r="O32" i="25" s="1"/>
  <c r="M32" i="25"/>
  <c r="L32" i="25"/>
  <c r="K32" i="25"/>
  <c r="N31" i="25"/>
  <c r="O31" i="25" s="1"/>
  <c r="M31" i="25"/>
  <c r="L31" i="25"/>
  <c r="K31" i="25"/>
  <c r="N30" i="25"/>
  <c r="O30" i="25" s="1"/>
  <c r="M30" i="25"/>
  <c r="L30" i="25"/>
  <c r="K30" i="25"/>
  <c r="N29" i="25"/>
  <c r="O29" i="25" s="1"/>
  <c r="M29" i="25"/>
  <c r="L29" i="25"/>
  <c r="K29" i="25"/>
  <c r="N28" i="25"/>
  <c r="O28" i="25" s="1"/>
  <c r="M28" i="25"/>
  <c r="L28" i="25"/>
  <c r="K28" i="25"/>
  <c r="N27" i="25"/>
  <c r="O27" i="25" s="1"/>
  <c r="M27" i="25"/>
  <c r="L27" i="25"/>
  <c r="K27" i="25"/>
  <c r="O26" i="25"/>
  <c r="N26" i="25"/>
  <c r="M26" i="25"/>
  <c r="L26" i="25"/>
  <c r="K26" i="25"/>
  <c r="N25" i="25"/>
  <c r="O25" i="25" s="1"/>
  <c r="M25" i="25"/>
  <c r="L25" i="25"/>
  <c r="K25" i="25"/>
  <c r="O24" i="25"/>
  <c r="N24" i="25"/>
  <c r="M24" i="25"/>
  <c r="L24" i="25"/>
  <c r="K24" i="25"/>
  <c r="O23" i="25"/>
  <c r="N23" i="25"/>
  <c r="M23" i="25"/>
  <c r="L23" i="25"/>
  <c r="K23" i="25"/>
  <c r="O22" i="25"/>
  <c r="N22" i="25"/>
  <c r="M22" i="25"/>
  <c r="L22" i="25"/>
  <c r="K22" i="25"/>
  <c r="N21" i="25"/>
  <c r="O21" i="25" s="1"/>
  <c r="M21" i="25"/>
  <c r="L21" i="25"/>
  <c r="K21" i="25"/>
  <c r="N20" i="25"/>
  <c r="O20" i="25" s="1"/>
  <c r="M20" i="25"/>
  <c r="L20" i="25"/>
  <c r="K20" i="25"/>
  <c r="N19" i="25"/>
  <c r="O19" i="25" s="1"/>
  <c r="M19" i="25"/>
  <c r="L19" i="25"/>
  <c r="K19" i="25"/>
  <c r="O18" i="25"/>
  <c r="N18" i="25"/>
  <c r="M18" i="25"/>
  <c r="L18" i="25"/>
  <c r="K18" i="25"/>
  <c r="N17" i="25"/>
  <c r="O17" i="25" s="1"/>
  <c r="M17" i="25"/>
  <c r="L17" i="25"/>
  <c r="K17" i="25"/>
  <c r="O16" i="25"/>
  <c r="N16" i="25"/>
  <c r="M16" i="25"/>
  <c r="L16" i="25"/>
  <c r="K16" i="25"/>
  <c r="O15" i="25"/>
  <c r="N15" i="25"/>
  <c r="M15" i="25"/>
  <c r="L15" i="25"/>
  <c r="K15" i="25"/>
  <c r="O14" i="25"/>
  <c r="N14" i="25"/>
  <c r="M14" i="25"/>
  <c r="L14" i="25"/>
  <c r="K14" i="25"/>
  <c r="N13" i="25"/>
  <c r="O13" i="25" s="1"/>
  <c r="M13" i="25"/>
  <c r="L13" i="25"/>
  <c r="K13" i="25"/>
  <c r="N12" i="25"/>
  <c r="O12" i="25" s="1"/>
  <c r="M12" i="25"/>
  <c r="L12" i="25"/>
  <c r="K12" i="25"/>
  <c r="N11" i="25"/>
  <c r="O11" i="25" s="1"/>
  <c r="M11" i="25"/>
  <c r="L11" i="25"/>
  <c r="K11" i="25"/>
  <c r="O10" i="25"/>
  <c r="N10" i="25"/>
  <c r="M10" i="25"/>
  <c r="L10" i="25"/>
  <c r="K10" i="25"/>
  <c r="N9" i="25"/>
  <c r="O9" i="25" s="1"/>
  <c r="M9" i="25"/>
  <c r="L9" i="25"/>
  <c r="K9" i="25"/>
  <c r="O8" i="25"/>
  <c r="N8" i="25"/>
  <c r="M8" i="25"/>
  <c r="L8" i="25"/>
  <c r="K8" i="25"/>
  <c r="O7" i="25"/>
  <c r="N7" i="25"/>
  <c r="M7" i="25"/>
  <c r="L7" i="25"/>
  <c r="K7" i="25"/>
  <c r="O6" i="25"/>
  <c r="N6" i="25"/>
  <c r="M6" i="25"/>
  <c r="L6" i="25"/>
  <c r="K6" i="25"/>
  <c r="N5" i="25"/>
  <c r="O5" i="25" s="1"/>
  <c r="M5" i="25"/>
  <c r="L5" i="25"/>
  <c r="K5" i="25"/>
  <c r="N4" i="25"/>
  <c r="O4" i="25" s="1"/>
  <c r="M4" i="25"/>
  <c r="L4" i="25"/>
  <c r="K4" i="25"/>
  <c r="N3" i="25"/>
  <c r="O3" i="25" s="1"/>
  <c r="M3" i="25"/>
  <c r="L3" i="25"/>
  <c r="K3" i="25"/>
  <c r="O2" i="25"/>
  <c r="N2" i="25"/>
  <c r="M2" i="25"/>
  <c r="L2" i="25"/>
  <c r="K2" i="25"/>
</calcChain>
</file>

<file path=xl/sharedStrings.xml><?xml version="1.0" encoding="utf-8"?>
<sst xmlns="http://schemas.openxmlformats.org/spreadsheetml/2006/main" count="951" uniqueCount="374">
  <si>
    <t>Categoria</t>
  </si>
  <si>
    <t>Colaborador externo - Especialista - CLE-E</t>
  </si>
  <si>
    <t>Colaborador externo - Doutor - CLE-D</t>
  </si>
  <si>
    <t>Colaborador externo - Técnico - CLE-T</t>
  </si>
  <si>
    <t>Colaborador externo - Qualificado/Experiente - CLE-Q</t>
  </si>
  <si>
    <t>Colaborador externo - Mestre - CLE-M</t>
  </si>
  <si>
    <t>Coordenador de programa ou projeto - Doutor - CPO-A</t>
  </si>
  <si>
    <t>Colaborador externo - Graduado - CLE-G</t>
  </si>
  <si>
    <t>Empreendedor Júnior - Participação societária em até duas empresas - EMP-JR</t>
  </si>
  <si>
    <t>Modalidade</t>
  </si>
  <si>
    <t>Sigla</t>
  </si>
  <si>
    <t>Teste</t>
  </si>
  <si>
    <t>Modalidade2</t>
  </si>
  <si>
    <t>Sigla3</t>
  </si>
  <si>
    <t>Nível</t>
  </si>
  <si>
    <t>Valor R$</t>
  </si>
  <si>
    <t>Carga horária semanal</t>
  </si>
  <si>
    <t>Teto para 10h</t>
  </si>
  <si>
    <t>Teto para 20h</t>
  </si>
  <si>
    <t>Teto para 30h</t>
  </si>
  <si>
    <t>Teto para 40h</t>
  </si>
  <si>
    <t>Teto para 48h</t>
  </si>
  <si>
    <t>Pesquisador - Doutor</t>
  </si>
  <si>
    <t>PEQ-A</t>
  </si>
  <si>
    <t>Pesquisador - Doutor - PEQ-A</t>
  </si>
  <si>
    <t>Produtivida de pesquisa</t>
  </si>
  <si>
    <t>Produtivida de pesquisa - PQ</t>
  </si>
  <si>
    <t>PQ</t>
  </si>
  <si>
    <t>1A</t>
  </si>
  <si>
    <t>10h</t>
  </si>
  <si>
    <t>Pesquisador - Mestre</t>
  </si>
  <si>
    <t>PEQ-B</t>
  </si>
  <si>
    <t>Pesquisador - Mestre - PEQ-B</t>
  </si>
  <si>
    <t>1B</t>
  </si>
  <si>
    <t>Pesquisador - Especialista</t>
  </si>
  <si>
    <t>PEQ-C</t>
  </si>
  <si>
    <t>Pesquisador - Especialista - PEQ-C</t>
  </si>
  <si>
    <t>1C</t>
  </si>
  <si>
    <t>Pesquisador - Graduado</t>
  </si>
  <si>
    <t>PEQ-D</t>
  </si>
  <si>
    <t>Pesquisador - Graduado - PEQ-D</t>
  </si>
  <si>
    <t>1D</t>
  </si>
  <si>
    <t>Pesquisador - Técnico</t>
  </si>
  <si>
    <t>PEQ-E</t>
  </si>
  <si>
    <t>Pesquisador - Técnico - PEQ-E</t>
  </si>
  <si>
    <t>Pesquisador - Qualificado/Experiente</t>
  </si>
  <si>
    <t>PEQ-F</t>
  </si>
  <si>
    <t>Pesquisador - Qualificado/Experiente - PEQ-F</t>
  </si>
  <si>
    <t>Extensionista - Doutor</t>
  </si>
  <si>
    <t>EXT-A</t>
  </si>
  <si>
    <t>Extensionista - Doutor - EXT-A</t>
  </si>
  <si>
    <t>Produtividade em Desenvolvimento Tecnológico e A extensão Inovadora</t>
  </si>
  <si>
    <t>Produtividade em Desenvolvimento Tecnológico e A extensão Inovadora - DT</t>
  </si>
  <si>
    <t>DT</t>
  </si>
  <si>
    <t>Extensionista - Mestre</t>
  </si>
  <si>
    <t>EXT-B</t>
  </si>
  <si>
    <t>Extensionista - Mestre - EXT-B</t>
  </si>
  <si>
    <t>Extensionista - Especialista</t>
  </si>
  <si>
    <t>EXT-C</t>
  </si>
  <si>
    <t>Extensionista - Especialista - EXT-C</t>
  </si>
  <si>
    <t>Extensionista - Graduado</t>
  </si>
  <si>
    <t>EXT-D</t>
  </si>
  <si>
    <t>Extensionista - Graduado - EXT-D</t>
  </si>
  <si>
    <t>Extensionista - Técnico</t>
  </si>
  <si>
    <t>EXT-E</t>
  </si>
  <si>
    <t>Extensionista - Técnico - EXT-E</t>
  </si>
  <si>
    <t>Extensionista - Qualificado/Experiente</t>
  </si>
  <si>
    <t>EXT-F</t>
  </si>
  <si>
    <t>Extensionista - Qualificado/Experiente - EXT-F</t>
  </si>
  <si>
    <t>Gestor de programa ou projeto - Doutor</t>
  </si>
  <si>
    <t>GPA-A GPO-A</t>
  </si>
  <si>
    <t>Gestor de programa ou projeto - Doutor - GPA-A GPO-A</t>
  </si>
  <si>
    <t>Gestor de programa ou projeto - Mestre</t>
  </si>
  <si>
    <t>GPA-B GPO-B</t>
  </si>
  <si>
    <t>Gestor de programa ou projeto - Mestre - GPA-B GPO-B</t>
  </si>
  <si>
    <t>Gestor de programa ou projeto - Especialista</t>
  </si>
  <si>
    <t>GPA-C GPO-C</t>
  </si>
  <si>
    <t>Gestor de programa ou projeto - Especialista - GPA-C GPO-C</t>
  </si>
  <si>
    <t>Gestor de programa ou projeto - Graduado</t>
  </si>
  <si>
    <t>GPA-D GPO-D</t>
  </si>
  <si>
    <t>Gestor de programa ou projeto - Graduado - GPA-D GPO-D</t>
  </si>
  <si>
    <t>Coordenador de programa ou projeto - Doutor</t>
  </si>
  <si>
    <t>CPO-A</t>
  </si>
  <si>
    <t>Coordenador de programa ou projeto - Mestre</t>
  </si>
  <si>
    <t>CPO-B</t>
  </si>
  <si>
    <t>Coordenador de programa ou projeto - Mestre - CPO-B</t>
  </si>
  <si>
    <t>Coordenador de programa ou projeto - Especialista</t>
  </si>
  <si>
    <t>CPO-C</t>
  </si>
  <si>
    <t>Coordenador de programa ou projeto - Especialista - CPO-C</t>
  </si>
  <si>
    <t>Coordenador de programa ou projeto - Graduado</t>
  </si>
  <si>
    <t>CPO-D</t>
  </si>
  <si>
    <t>Coordenador de programa ou projeto - Graduado - CPO-D</t>
  </si>
  <si>
    <t>Colaborador externo - Doutor</t>
  </si>
  <si>
    <t>CLE-D</t>
  </si>
  <si>
    <t>Colaborador externo - Mestre</t>
  </si>
  <si>
    <t>CLE-M</t>
  </si>
  <si>
    <t>Colaborador externo - Especialista</t>
  </si>
  <si>
    <t>CLE-E</t>
  </si>
  <si>
    <t>Colaborador externo - Graduado</t>
  </si>
  <si>
    <t>CLE-G</t>
  </si>
  <si>
    <t>Colaborador externo - Técnico</t>
  </si>
  <si>
    <t>CLE-T</t>
  </si>
  <si>
    <t>Colaborador externo - Qualificado/Experiente</t>
  </si>
  <si>
    <t>CLE-Q</t>
  </si>
  <si>
    <t>Estudante de Doutorado</t>
  </si>
  <si>
    <t>EST-D</t>
  </si>
  <si>
    <t>Estudante de Doutorado - EST-D</t>
  </si>
  <si>
    <t>Doutorado-GD</t>
  </si>
  <si>
    <t>Doutorado-GD - GD</t>
  </si>
  <si>
    <t>GD</t>
  </si>
  <si>
    <t>Estudante de Mestrado</t>
  </si>
  <si>
    <t>EST-M</t>
  </si>
  <si>
    <t>Estudante de Mestrado - EST-M</t>
  </si>
  <si>
    <t>Mestrado-GM</t>
  </si>
  <si>
    <t>Mestrado-GM - GM</t>
  </si>
  <si>
    <t>GM</t>
  </si>
  <si>
    <t>Estudante de Pós-graduação latu sensu e Aperfeiçoamento</t>
  </si>
  <si>
    <t>EST-LS EST-A</t>
  </si>
  <si>
    <t>Estudante de Pós-graduação latu sensu e Aperfeiçoamento - EST-LS EST-A</t>
  </si>
  <si>
    <t>Estudante de Graduação</t>
  </si>
  <si>
    <t>EST-G</t>
  </si>
  <si>
    <t>Estudante de Graduação - EST-G</t>
  </si>
  <si>
    <t>iniciação Cientifica ou Iniciação Tecnológica</t>
  </si>
  <si>
    <t>iniciação Cientifica ou Iniciação Tecnológica - IC-BIT</t>
  </si>
  <si>
    <t>IC-BIT</t>
  </si>
  <si>
    <t>Estudante de Curso Técnico e Especialização Técnica</t>
  </si>
  <si>
    <t>EST-CT EST-CF</t>
  </si>
  <si>
    <t>Estudante de Curso Técnico e Especialização Técnica - EST-CT EST-CF</t>
  </si>
  <si>
    <t>Iniciação Científica Junior</t>
  </si>
  <si>
    <t>Iniciação Científica Junior - ICJ</t>
  </si>
  <si>
    <t>ICJ</t>
  </si>
  <si>
    <t>Estudante de Curso FIC</t>
  </si>
  <si>
    <t>EST-CF</t>
  </si>
  <si>
    <t>Estudante de Curso FIC - EST-CF</t>
  </si>
  <si>
    <t>Empreendedor Júnior - Participação societária em até duas empresas</t>
  </si>
  <si>
    <t>EMP-JR</t>
  </si>
  <si>
    <t>Empreendedor Sênio - Participação societária em três ou mais empresas</t>
  </si>
  <si>
    <t>EMP-SE</t>
  </si>
  <si>
    <t>Empreendedor Sênio - Participação societária em três ou mais empresas - EMP-SE</t>
  </si>
  <si>
    <t>Doutorado Sanduiche Empresarial</t>
  </si>
  <si>
    <t>Doutorado Sanduiche Empresarial - SWI</t>
  </si>
  <si>
    <t>SWI</t>
  </si>
  <si>
    <t>Intercambista Profissional Doutor</t>
  </si>
  <si>
    <t>INT-PD</t>
  </si>
  <si>
    <t>Intercambista Profissional Doutor - INT-PD</t>
  </si>
  <si>
    <t>Especialisa Visitante Especial</t>
  </si>
  <si>
    <t>Especialisa Visitante Especial - PVE</t>
  </si>
  <si>
    <t>PVE</t>
  </si>
  <si>
    <t>_</t>
  </si>
  <si>
    <t>40h</t>
  </si>
  <si>
    <t>Intercambista Profissional - Mestre</t>
  </si>
  <si>
    <t>INT-PM</t>
  </si>
  <si>
    <t>Intercambista Profissional - Mestre - INT-PM</t>
  </si>
  <si>
    <t>Atração de Jovens Talentos</t>
  </si>
  <si>
    <t>Atração de Jovens Talentos - BJT</t>
  </si>
  <si>
    <t>BJT</t>
  </si>
  <si>
    <t>A</t>
  </si>
  <si>
    <t>Intercambista Profissional - Especialista</t>
  </si>
  <si>
    <t>INT-PE</t>
  </si>
  <si>
    <t>Intercambista Profissional - Especialista - INT-PE</t>
  </si>
  <si>
    <t>Pesquisador Visitante</t>
  </si>
  <si>
    <t>Pesquisador Visitante - PVE</t>
  </si>
  <si>
    <t>Intercambista Profissional - Graduação</t>
  </si>
  <si>
    <t>INT-PG</t>
  </si>
  <si>
    <t>Intercambista Profissional - Graduação - INT-PG</t>
  </si>
  <si>
    <t>Apoio Técnico à Pesquisa</t>
  </si>
  <si>
    <t>Apoio Técnico à Pesquisa - AT</t>
  </si>
  <si>
    <t>AT</t>
  </si>
  <si>
    <t>NS</t>
  </si>
  <si>
    <t>Intercambista Profissional - técnico de nível médio</t>
  </si>
  <si>
    <t>INT-PT</t>
  </si>
  <si>
    <t>Intercambista Profissional - técnico de nível médio - INT-PT</t>
  </si>
  <si>
    <t>NM</t>
  </si>
  <si>
    <t>Intercambista Profissional - Qualificação/Experiente</t>
  </si>
  <si>
    <t>INT-PQE</t>
  </si>
  <si>
    <t>Intercambista Profissional - Qualificação/Experiente - INT-PQE</t>
  </si>
  <si>
    <t>MATERIAL DE CONSUMO</t>
  </si>
  <si>
    <t>SERVIÇOS DE TERCEIROS</t>
  </si>
  <si>
    <t>EQUIPAMENTOS E SISTEMA DE PROT.VIG.AMBIENTAL</t>
  </si>
  <si>
    <t>TIPO DE DESPESA</t>
  </si>
  <si>
    <t>DESLOCAMENTO PARA BRASÍLIA, MANAUS, RIO DE JANEIRO E SÃO PAULO</t>
  </si>
  <si>
    <t>DESLOCAMENTO PARA OUTRAS CAPITAIS DE ESTADOS</t>
  </si>
  <si>
    <t>DEMAIS DESLOCAMENTO NACIONAIS</t>
  </si>
  <si>
    <t>DESLOCAMENTO INTERNACIONAL</t>
  </si>
  <si>
    <t>A) DIÁRIA (NÃO REEMBOLSÁVEIS)</t>
  </si>
  <si>
    <t>AÉREO - PASSAGEM INTERNACIONAL EM AVIÃO COMERCIAL</t>
  </si>
  <si>
    <t>AÉREO - PASSAGEM NACIONAL EM AVIÃO COMERCIAL</t>
  </si>
  <si>
    <t>TERRESTRE - PASSAGEM DE ÔNIBUS INTERNACIONAL</t>
  </si>
  <si>
    <t>TERRESTRE - PASSAGEM DE ÔNIBUS NACIONAL / INTERESTADUAL</t>
  </si>
  <si>
    <t>TERRESTRE - PASSAGEM DE TREM INTERNACIONAL</t>
  </si>
  <si>
    <t>TERRESTRE - PASSAGEM DE TREM NACIONAL</t>
  </si>
  <si>
    <t>TRANSPORTE MARÍTIMO OU FLUVIAL - TERRESTRE - PASSAGEM INTERNACIONAL</t>
  </si>
  <si>
    <t>TRANSPORTE MARÍTIMO OU FLUVIAL - TERRESTRE - PASSAGEM NACIONAL</t>
  </si>
  <si>
    <t>ACESSORIOS PARA VEICULOS</t>
  </si>
  <si>
    <t>AERONAVES</t>
  </si>
  <si>
    <t>APARELHOS DE MEDIÇÃO E ORIENTAÇÃO</t>
  </si>
  <si>
    <t>APARELHOS E EQUIP. MÉDICOS ODONT. LABORAT. E HOSPITAL.</t>
  </si>
  <si>
    <t>APARELHOS E EQUIP. P/ ESPORTES E DIVERSÕES</t>
  </si>
  <si>
    <t>APARELHOS E EQUIPAMENTOS DE COMUNICAÇÃO</t>
  </si>
  <si>
    <t>APARELHOS E UTENSÍLIOS DOMÉSTICOS</t>
  </si>
  <si>
    <t>AQUISIÇÃO DE SOFTWARE - LICENÇA PERPÉTUA</t>
  </si>
  <si>
    <t>COLECOES E MATERIAIS BIBLIOGRAFICOS</t>
  </si>
  <si>
    <t>DISCOTECAS E FILMOTECAS</t>
  </si>
  <si>
    <t>EMBARCAÇÕES</t>
  </si>
  <si>
    <t>EQUIP. E UTENSILIOS HIDRAULICOS E ELETRICOS</t>
  </si>
  <si>
    <t>EQUIPAMENTO DE PROTECAO SEGURANCA E SOCORRO</t>
  </si>
  <si>
    <t>EQUIPAMENTOS DE MERGULHO E SALVAMENTO</t>
  </si>
  <si>
    <t>EQUIPAMENTOS DE PROCESSAMENTO DE DADOS</t>
  </si>
  <si>
    <t>EQUIPAMENTOS DE TIC - ATIVOS DE REDE</t>
  </si>
  <si>
    <t>EQUIPAMENTOS DE TIC - COMPUTADORES</t>
  </si>
  <si>
    <t>EQUIPAMENTOS DE TIC - IMPRESSORAS</t>
  </si>
  <si>
    <t>EQUIPAMENTOS DE TIC - SERVIDORES/STORAGE</t>
  </si>
  <si>
    <t>EQUIPAMENTOS DE TIC - TELEFONIA</t>
  </si>
  <si>
    <t>EQUIPAMENTOS PARA ÁUDIO VÍDEO E FOTO</t>
  </si>
  <si>
    <t>EQUIPAMENTOS PECAS E ACESS. DE PROTECAO AO VOO</t>
  </si>
  <si>
    <t>EQUIPAMENTOS PECAS E ACESSORIOS AERONAUTICOS</t>
  </si>
  <si>
    <t>EQUIPAMENTOS PECAS E ACESSORIOS MARITIMOS</t>
  </si>
  <si>
    <t>INSTRUMENTOS MUSICAIS E ARTÍSTICOS</t>
  </si>
  <si>
    <t>MAQ. FERRAMENTAS E UTENSÍLIOS DE OFICINA</t>
  </si>
  <si>
    <t>MÁQUINAS E EQUIPAMENTOS AGRIC. E RODOVIÁRIOS</t>
  </si>
  <si>
    <t>MÁQUINAS E EQUIPAMENTOS DE NATUREZA INDUSTRIAL</t>
  </si>
  <si>
    <t>MÁQUINAS E EQUIPAMENTOS ENERGETICOS</t>
  </si>
  <si>
    <t>MÁQUINAS E EQUIPAMENTOS GRÁFICOS</t>
  </si>
  <si>
    <t>MÁQUINAS INSTALAÇÕES E UTENS. DE ESCRITÓRIO</t>
  </si>
  <si>
    <t>MOBILIÁRIO EM GERAL</t>
  </si>
  <si>
    <t>OBRAS DE ARTE E PECAS PARA EXPOSICAO</t>
  </si>
  <si>
    <t>SEMOVENTES E EQUIPAMENTOS DE MONTARIA</t>
  </si>
  <si>
    <t>VEICULOS DE TRACAO MECANICA</t>
  </si>
  <si>
    <t>VEÍCULOS FERROVIÁRIOS</t>
  </si>
  <si>
    <t>ALIMENTOS PARA ANIMAIS</t>
  </si>
  <si>
    <t>ANÁLISES LABORATORIAIS</t>
  </si>
  <si>
    <t>ANIMAIS PARA PESQUISA E ABATE</t>
  </si>
  <si>
    <t>APOIO ADMINISTRATIVO TECNICO E OPERACIONAL</t>
  </si>
  <si>
    <t>BANDEIRAS FLAMULAS E INSIGNIAS</t>
  </si>
  <si>
    <t>AQUISIÇÃO DE SOFTWARE</t>
  </si>
  <si>
    <t>COMBUSTIVEIS E LUBRIF. P/ OUTRAS FINALIDADES</t>
  </si>
  <si>
    <t>ARMAZENAGEM</t>
  </si>
  <si>
    <t>COMBUSTÍVEIS E LUBRIFICANTES AUTOMOTIVOS</t>
  </si>
  <si>
    <t>ASSESSORIA E CONSULTORIA TECNICA OU JURIDICA (EXCETO T.I.)</t>
  </si>
  <si>
    <t>COMBUSTÍVEIS E LUBRIFICANTES DE AVIACAO</t>
  </si>
  <si>
    <t>ASSINATURAS DE PERIÓDICOS E ANUIDADES</t>
  </si>
  <si>
    <t>EXPLOSIVOS E MUNIÇÕES</t>
  </si>
  <si>
    <t>AUDITORIA EXTERNA</t>
  </si>
  <si>
    <t>FERRAMENTAS</t>
  </si>
  <si>
    <t>BENFEITORIAS EM PROPRIEDADES DE TERCEIROS</t>
  </si>
  <si>
    <t>GÁS E OUTROS MATERIAIS ENGARRAFADOS</t>
  </si>
  <si>
    <t>CAPATAZIA ESTIVA E PESAGEM</t>
  </si>
  <si>
    <t>GENEROS DE ALIMENTACAO</t>
  </si>
  <si>
    <t>CLASSIFICAÇÃO DE PRODUTOS</t>
  </si>
  <si>
    <t>MAT. SOBRESS. PARA MAQ. E EQUIP. PARA PROD. INDUSTRIAL</t>
  </si>
  <si>
    <t>COMPUTAÇÃO DE NUVEM - INFRAESTRUTURA COMO SERVIÇO (IAAS)</t>
  </si>
  <si>
    <t>MAT. SOBRESSAL. MAQ.E MOTORES DE NAVIOS E EMBARC.</t>
  </si>
  <si>
    <t>COMPUTAÇÃO DE NUVEM - PLATAFORMA COMO SERVIÇO (PAAS)</t>
  </si>
  <si>
    <t>MATERIAIS E MEDICAMENTOS P/ USO VETERINARIO</t>
  </si>
  <si>
    <t>COMPUTAÇÃO DE NUVEM - SOFTWARE COMO SERVIÇO (SAAS)</t>
  </si>
  <si>
    <t>MATERIAL BIOLÓGICO</t>
  </si>
  <si>
    <t>COMUNICAÇÃO DE DADOS</t>
  </si>
  <si>
    <t>MATERIAL DE ACONDICIONAMENTO E EMBALAGEM</t>
  </si>
  <si>
    <t>CONFECÇÃO DE MATERIAL DE ACONDIC. E EMBALAGEM</t>
  </si>
  <si>
    <t>MATERIAL DE CACA E PESCA</t>
  </si>
  <si>
    <t>CONFECÇÃO DE UNIFORMES BANDEIRAS E FLÂMULAS</t>
  </si>
  <si>
    <t>MATERIAL DE CAMA MESA E BANHO</t>
  </si>
  <si>
    <t>CONSULTORIA EM TECNOLOGIA DA INFORMACAO E COMUNICACAO</t>
  </si>
  <si>
    <t>MATERIAL DE COPA E COZINHA</t>
  </si>
  <si>
    <t>DESENVOLVIMENTO DE SOFTWARE</t>
  </si>
  <si>
    <t>MATERIAL DE COUDELARIA OU DE USO ZOOTÉCNICO</t>
  </si>
  <si>
    <t>DIGITALIZAÇÃO / INDEXAÇÃO DE DOCUMENTOS</t>
  </si>
  <si>
    <t>MATERIAL DE EXPEDIENTE</t>
  </si>
  <si>
    <t>ESTAGIÁRIOS</t>
  </si>
  <si>
    <t>MATERIAL DE LIMPEZA E PROD. DE HIGIENIZAÇÃO</t>
  </si>
  <si>
    <t>ESTUDOS E PROJETOS</t>
  </si>
  <si>
    <t>MATERIAL DE MANOBRA E PATRULHAMENTO</t>
  </si>
  <si>
    <t>FORNECIMENTO DE ALIMENTAÇÃO</t>
  </si>
  <si>
    <t>MATERIAL DE MARCAÇÃO DA FAUNA SILVESTRE</t>
  </si>
  <si>
    <t>FRETES E TRANSPORTES DE ENCOMENDAS</t>
  </si>
  <si>
    <t>MATERIAL DE PROTECAO E SEGURANCA</t>
  </si>
  <si>
    <t>HOSPEDAGEM DE SISTEMAS DE INFORMAÇÃO</t>
  </si>
  <si>
    <t>MATERIAL DE SINALIZACAO VISUAL E OUTROS</t>
  </si>
  <si>
    <t>HOSPEDAGEM</t>
  </si>
  <si>
    <t>MATERIAL DE TIC - MATERIAL DE CONSUMO</t>
  </si>
  <si>
    <t>INSTALAÇÃO DE EQUIPAMENTOS DE T.I.</t>
  </si>
  <si>
    <t>MATERIAL EDUCATIVO E ESPORTIVO</t>
  </si>
  <si>
    <t>INSTALAÇÕES</t>
  </si>
  <si>
    <t>MATERIAL ELETRICO E ELETRONICO</t>
  </si>
  <si>
    <t>LOCAÇÃO DE BENS MÓVEIS E INTANGÍVEIS (EXCETO T.I.)</t>
  </si>
  <si>
    <t>MATERIAL FARMACOLOGICO</t>
  </si>
  <si>
    <t>LOCAÇÃO DE EQUIPAMENTOS DE TIC - ATIVOS DE REDE</t>
  </si>
  <si>
    <t>MATERIAL HOSPITALAR</t>
  </si>
  <si>
    <t>LOCAÇÃO DE EQUIPAMENTOS DE TIC - COMPUTADORES</t>
  </si>
  <si>
    <t>MATERIAL LABORATORIAL</t>
  </si>
  <si>
    <t>LOCAÇÃO DE EQUIPAMENTOS DE TIC - IMPRESSORAS</t>
  </si>
  <si>
    <t>MATERIAL METEOROLOGICO</t>
  </si>
  <si>
    <t>LOCAÇÃO DE EQUIPAMENTOS DE TIC - SERVIDORES/STORAGE</t>
  </si>
  <si>
    <t>MATERIAL ODONTOLÓGICO</t>
  </si>
  <si>
    <t>LOCAÇÃO DE EQUIPAMENTOS DE TIC - TELEFONIA</t>
  </si>
  <si>
    <t>MATERIAL P/ ÁUDIO VÍDEO E FOTO</t>
  </si>
  <si>
    <t>LOCACAO DE IMOVEIS</t>
  </si>
  <si>
    <t>MATERIAL P/ FESTIVIDADES E HOMENAGENS</t>
  </si>
  <si>
    <t>LOCACAO DE MAO-DE-OBRA</t>
  </si>
  <si>
    <t>MATERIAL P/ MANUT. CONSERV. DE ESTRADAS E VIAS</t>
  </si>
  <si>
    <t>LOCACAO DE MAQUINAS E EQUIPAMENTOS (EXCETO T.I.)</t>
  </si>
  <si>
    <t>MATERIAL P/ MANUT.DE BENS IMOVEIS/INSTALAÇÕES</t>
  </si>
  <si>
    <t>LOCAÇÃO DE MEIOS DE TRANSPORTE</t>
  </si>
  <si>
    <t>MATERIAL P/ MANUTENCAO DE BENS MÓVEIS</t>
  </si>
  <si>
    <t>LOCAÇÃO DE SOFTWARES</t>
  </si>
  <si>
    <t>MATERIAL P/ MANUTENÇÃO DE VEÍCULOS</t>
  </si>
  <si>
    <t>MANUTENÇÃO DE SOFTWARE</t>
  </si>
  <si>
    <t>MATERIAL P/ PRODUCAO INDUSTRIAL</t>
  </si>
  <si>
    <t>MANUTENCAO E CONSERV. DE BENS IMÓVEIS</t>
  </si>
  <si>
    <t>MATERIAL P/ REABILITACAO PROFISSIONAL</t>
  </si>
  <si>
    <t>MANUTENCAO E CONSERV. DE EQUIPAMENTOS (EXCETO T.I.)</t>
  </si>
  <si>
    <t>MATERIAL P/ UTILIZACAO EM GRAFICA</t>
  </si>
  <si>
    <t>MANUTENÇÃO E CONSERV. DE EQUIPAMENTOS DE TIC</t>
  </si>
  <si>
    <t>MATERIAL PARA COMUNICAÇÕES</t>
  </si>
  <si>
    <t>MANUTENCAO E CONSERV. DE ESTRADAS E VIAS</t>
  </si>
  <si>
    <t>MATERIAL QUIMICO</t>
  </si>
  <si>
    <t>MANUTENCAO E CONSERV. DE VEÍCULOS</t>
  </si>
  <si>
    <t>MATERIAL TÉCNICO PARA SELEÇÃO E TREINAMENTO</t>
  </si>
  <si>
    <t>OBRAS E SERVIÇOS DE ENGENHARIA</t>
  </si>
  <si>
    <t>SEMENTES MUDAS DE PLANTAS E INSUMOS</t>
  </si>
  <si>
    <t>OUTSOURCING DE IMPRESSÃO</t>
  </si>
  <si>
    <t>SUPRIMENTO DE AVIACAO</t>
  </si>
  <si>
    <t>PRODUÇÃO DE EVENTOS</t>
  </si>
  <si>
    <t>SUPRIMENTO DE PROTEÇÃO AO VÔO</t>
  </si>
  <si>
    <t>PRODUCOES JORNALISTICAS</t>
  </si>
  <si>
    <t>UNIFORMES TECIDOS E AVIAMENTOS</t>
  </si>
  <si>
    <t>SEGUROS EM GERAL</t>
  </si>
  <si>
    <t>SERV. DE APOIO ADMININSTRATIVO TÉCNICO E OPERACIONAL</t>
  </si>
  <si>
    <t>SERV. DE CONSERV. E REBENEFIC. DE MERCADORIAS</t>
  </si>
  <si>
    <t>SERVIÇO DE INCINERAÇÃO DESTRUIÇÃO E DEMOLIÇÃO</t>
  </si>
  <si>
    <t>SERVIÇOS BANCÁRIOS</t>
  </si>
  <si>
    <t>SERVIÇOS DE ÁGUA E ESGOTO</t>
  </si>
  <si>
    <t>SERVIÇOS DE ANÁLISES E PESQUISAS CIENTÍFICAS</t>
  </si>
  <si>
    <t>SERVIÇOS DE APOIO AO ENSINO</t>
  </si>
  <si>
    <t>SERVIÇOS DE ASSISTÊNCIA SOCIAL</t>
  </si>
  <si>
    <t>SERVIÇOS DE ÁUDIO VÍDEO E FOTO</t>
  </si>
  <si>
    <t>SERVIÇOS DE COMUNICAÇÃO</t>
  </si>
  <si>
    <t>SERVIÇOS DE CONSULTORIA</t>
  </si>
  <si>
    <t>SERVIÇOS DE CONTROLE AMBIENTAL</t>
  </si>
  <si>
    <t>SERVIÇOS DE CÓPIAS E REPRODUÇÃO DE DOCUMENTOS</t>
  </si>
  <si>
    <t>SERVIÇOS DE ENERGIA ELÉTRICA</t>
  </si>
  <si>
    <t>SERVIÇOS DE ESTACIONAMENTO DE VEÍCULOS</t>
  </si>
  <si>
    <t>SERVIÇOS DE GÁS</t>
  </si>
  <si>
    <t>SERVIÇOS DE LIMPEZA E CONSERVACAO</t>
  </si>
  <si>
    <t>SERVIÇOS DE PRODUÇÃO INDUSTRIAL</t>
  </si>
  <si>
    <t>SERVIÇOS DE SELEÇÃO E TREINAMENTO</t>
  </si>
  <si>
    <t>SERVIÇOS DE TECNOLOGIA DA INFORMACAO E COMUNICACAO</t>
  </si>
  <si>
    <t>SERVIÇOS DE TELECOMUNICAÇÕES</t>
  </si>
  <si>
    <t>SERVIÇOS DE TELEFONIA MÓVEL CELULAR</t>
  </si>
  <si>
    <t>SERVIÇOS DOMÉSTICOS</t>
  </si>
  <si>
    <t>SERVIÇOS EVENTUAIS DE NATUREZA INDUSTRIAL</t>
  </si>
  <si>
    <t>SERVIÇOS EVENTUAIS DE PROFESSORES</t>
  </si>
  <si>
    <t>SERVIÇOS GRÁFICOS E EDITORIAIS</t>
  </si>
  <si>
    <t>SERVIÇOS JUDICIÁRIOS</t>
  </si>
  <si>
    <t>SERVIÇOS LABORATORIAIS</t>
  </si>
  <si>
    <t>SERVIÇOS MÉDICOS E ODONTOLÓGICOS</t>
  </si>
  <si>
    <t>SERVIÇOS TÉCNICOS PROFISSIONAIS (EXCETO TIC)</t>
  </si>
  <si>
    <t>SUPORTE A USUÁRIOS DE T.I.</t>
  </si>
  <si>
    <t>SUPORTE DE INFRAESTRUTURA DE T.I.</t>
  </si>
  <si>
    <t>TREINAMENTO E CAPACITAÇÃO EM TIC</t>
  </si>
  <si>
    <t>VIGILÂNCIA</t>
  </si>
  <si>
    <t xml:space="preserve">TIPO DE PASSAGENS </t>
  </si>
  <si>
    <t>Teto fator multiplicador</t>
  </si>
  <si>
    <t>MATERIAIS PERMANENTES</t>
  </si>
  <si>
    <t>modalidade</t>
  </si>
  <si>
    <t>categoria</t>
  </si>
  <si>
    <t>valor_referencia</t>
  </si>
  <si>
    <t>Material permanente</t>
  </si>
  <si>
    <t>grupo_parf</t>
  </si>
  <si>
    <t>Material de consumo</t>
  </si>
  <si>
    <t>Serviço PJ</t>
  </si>
  <si>
    <t>tipo_diaria</t>
  </si>
  <si>
    <t>valor_unitario</t>
  </si>
  <si>
    <t>tipo_passagem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</si>
</sst>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EFEFEF"/>
        <bgColor rgb="FFEFEFEF"/>
      </patternFill>
    </fill>
  </fills>
  <borders count="13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7">
    <xf numFmtId="0" fontId="0" fillId="0" borderId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1" fillId="0" borderId="0"/>
  </cellStyleXfs>
  <cellXfs count="25">
    <xf numFmtId="0" fontId="0" fillId="0" borderId="0" xfId="0"/>
    <xf numFmtId="0" fontId="0" fillId="0" borderId="0" xfId="0" applyAlignment="1">
      <alignment horizontal="right"/>
    </xf>
    <xf numFmtId="44" fontId="0" fillId="0" borderId="0" xfId="1" applyFont="1"/>
    <xf numFmtId="44" fontId="0" fillId="0" borderId="0" xfId="0" applyNumberFormat="1"/>
    <xf numFmtId="0" fontId="0" fillId="0" borderId="0" xfId="5" applyFont="1"/>
    <xf numFmtId="0" fontId="4" fillId="0" borderId="0" xfId="5" applyFont="1"/>
    <xf numFmtId="0" fontId="5" fillId="3" borderId="6" xfId="5" applyFont="1" applyFill="1" applyBorder="1" applyAlignment="1">
      <alignment horizontal="center" vertical="center" wrapText="1"/>
    </xf>
    <xf numFmtId="0" fontId="4" fillId="0" borderId="0" xfId="5" applyFont="1" applyAlignment="1">
      <alignment vertical="center" wrapText="1"/>
    </xf>
    <xf numFmtId="0" fontId="4" fillId="0" borderId="6" xfId="5" applyFont="1" applyBorder="1" applyAlignment="1">
      <alignment vertical="center" wrapText="1"/>
    </xf>
    <xf numFmtId="0" fontId="8" fillId="0" borderId="6" xfId="5" applyFont="1" applyBorder="1" applyAlignment="1">
      <alignment vertical="center" wrapText="1"/>
    </xf>
    <xf numFmtId="0" fontId="4" fillId="2" borderId="0" xfId="5" applyFont="1" applyFill="1"/>
    <xf numFmtId="0" fontId="0" fillId="2" borderId="0" xfId="5" applyFont="1" applyFill="1"/>
    <xf numFmtId="0" fontId="9" fillId="4" borderId="3" xfId="5" applyFont="1" applyFill="1" applyBorder="1" applyAlignment="1">
      <alignment horizontal="center" vertical="center"/>
    </xf>
    <xf numFmtId="0" fontId="4" fillId="0" borderId="4" xfId="5" applyFont="1" applyBorder="1"/>
    <xf numFmtId="0" fontId="4" fillId="0" borderId="5" xfId="5" applyFont="1" applyBorder="1"/>
    <xf numFmtId="0" fontId="8" fillId="0" borderId="0" xfId="5" applyFont="1"/>
    <xf numFmtId="0" fontId="6" fillId="4" borderId="7" xfId="5" applyFont="1" applyFill="1" applyBorder="1" applyAlignment="1">
      <alignment horizontal="center" vertical="center" wrapText="1"/>
    </xf>
    <xf numFmtId="0" fontId="7" fillId="0" borderId="8" xfId="5" applyFont="1" applyBorder="1" applyAlignment="1">
      <alignment horizontal="left" vertical="center" wrapText="1"/>
    </xf>
    <xf numFmtId="0" fontId="6" fillId="4" borderId="9" xfId="5" applyFont="1" applyFill="1" applyBorder="1" applyAlignment="1">
      <alignment horizontal="center" vertical="center" wrapText="1"/>
    </xf>
    <xf numFmtId="44" fontId="7" fillId="0" borderId="10" xfId="1" applyFont="1" applyBorder="1" applyAlignment="1">
      <alignment horizontal="center" vertical="center" wrapText="1"/>
    </xf>
    <xf numFmtId="0" fontId="6" fillId="4" borderId="11" xfId="5" applyFont="1" applyFill="1" applyBorder="1" applyAlignment="1">
      <alignment horizontal="center" vertical="center" wrapText="1"/>
    </xf>
    <xf numFmtId="44" fontId="7" fillId="0" borderId="12" xfId="1" applyFont="1" applyBorder="1" applyAlignment="1">
      <alignment horizontal="center" vertical="center" wrapText="1"/>
    </xf>
    <xf numFmtId="0" fontId="6" fillId="4" borderId="1" xfId="5" applyFont="1" applyFill="1" applyBorder="1" applyAlignment="1">
      <alignment horizontal="center" vertical="center" wrapText="1"/>
    </xf>
    <xf numFmtId="44" fontId="10" fillId="0" borderId="2" xfId="1" applyFont="1" applyBorder="1" applyAlignment="1">
      <alignment horizontal="center" vertical="center" wrapText="1"/>
    </xf>
    <xf numFmtId="0" fontId="1" fillId="0" borderId="0" xfId="0" applyFont="1"/>
  </cellXfs>
  <cellStyles count="7">
    <cellStyle name="Moeda" xfId="1" builtinId="4"/>
    <cellStyle name="Moeda 2" xfId="2" xr:uid="{00000000-0005-0000-0000-000031000000}"/>
    <cellStyle name="Moeda 2 2" xfId="3" xr:uid="{00000000-0005-0000-0000-000032000000}"/>
    <cellStyle name="Moeda 3" xfId="4" xr:uid="{00000000-0005-0000-0000-000033000000}"/>
    <cellStyle name="Normal" xfId="0" builtinId="0"/>
    <cellStyle name="Normal 2" xfId="5" xr:uid="{70933B88-AC7F-435E-9F67-EB83DDB92CA9}"/>
    <cellStyle name="Normal 3" xfId="6" xr:uid="{B20E2A8B-6B1C-4B8D-BC23-56BA27C0F60A}"/>
  </cellStyles>
  <dxfs count="6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A5BAD7-D881-4D1D-9710-E0EA2711E2F8}" name="tCategorias" displayName="tCategorias" ref="A1:O41" totalsRowShown="0">
  <autoFilter ref="A1:O41" xr:uid="{E1A5BAD7-D881-4D1D-9710-E0EA2711E2F8}"/>
  <tableColumns count="15">
    <tableColumn id="1" xr3:uid="{7C708B39-09D9-40EA-BDBF-2F0A8F10244D}" name="Modalidade"/>
    <tableColumn id="2" xr3:uid="{5B45CC4C-72EA-4E09-9A86-868A34A5F49A}" name="Sigla"/>
    <tableColumn id="3" xr3:uid="{47C6C3EB-103E-4CBA-B92B-655EA19AE360}" name="Categoria"/>
    <tableColumn id="4" xr3:uid="{1029E87B-A1EF-47CE-8971-A62F252B60CF}" name="Teste"/>
    <tableColumn id="5" xr3:uid="{678508A0-06E3-4F0B-9E16-7BE92D362CC5}" name="Modalidade2"/>
    <tableColumn id="6" xr3:uid="{3CEAE3E3-05AE-415D-B4F0-AECE95699289}" name="Sigla3"/>
    <tableColumn id="7" xr3:uid="{4987CBDF-4ADC-4FD2-9EF7-A657F9F1DA85}" name="Nível" dataDxfId="5"/>
    <tableColumn id="8" xr3:uid="{1F8F793F-90A4-4D21-85F5-39779C94539D}" name="Teto fator multiplicador"/>
    <tableColumn id="9" xr3:uid="{F8936DED-6340-4E15-BAD7-2B35F2E3C61A}" name="Valor R$" dataCellStyle="Moeda"/>
    <tableColumn id="10" xr3:uid="{4873A5C9-DC8F-4973-A3C5-2C1EDB122DE6}" name="Carga horária semanal"/>
    <tableColumn id="11" xr3:uid="{E4C38967-2347-4320-A5FA-00D772829124}" name="Teto para 10h" dataDxfId="4">
      <calculatedColumnFormula>tCategorias[[#This Row],[Valor R$]]*tCategorias[[#This Row],[Teto fator multiplicador]]</calculatedColumnFormula>
    </tableColumn>
    <tableColumn id="14" xr3:uid="{170BEF11-EBD2-49CA-B97E-53C887806D86}" name="Teto para 20h" dataDxfId="3">
      <calculatedColumnFormula>tCategorias[[#This Row],[Valor R$]]*tCategorias[[#This Row],[Teto fator multiplicador]]*2</calculatedColumnFormula>
    </tableColumn>
    <tableColumn id="15" xr3:uid="{5ABB8656-9C88-4418-A49E-4B003F716F2B}" name="Teto para 30h" dataDxfId="2">
      <calculatedColumnFormula>tCategorias[[#This Row],[Valor R$]]*tCategorias[[#This Row],[Teto fator multiplicador]]*3</calculatedColumnFormula>
    </tableColumn>
    <tableColumn id="16" xr3:uid="{893099E6-BAE4-450E-8F63-EB3307D177F4}" name="Teto para 40h" dataDxfId="1">
      <calculatedColumnFormula>tCategorias[[#This Row],[Valor R$]]*tCategorias[[#This Row],[Teto fator multiplicador]]*4</calculatedColumnFormula>
    </tableColumn>
    <tableColumn id="17" xr3:uid="{60326533-D591-4B53-A1F6-0B5E436ED2FE}" name="Teto para 48h" dataDxfId="0">
      <calculatedColumnFormula>(tCategorias[[#This Row],[Valor R$]]*0.8)*3+tCategorias[[#This Row],[Teto para 40h]]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C291-0011-4368-93FE-5648FF8019CB}">
  <sheetPr codeName="Planilha6"/>
  <dimension ref="A1:O41"/>
  <sheetViews>
    <sheetView topLeftCell="D9" workbookViewId="0">
      <selection activeCell="I2" sqref="I2:I41"/>
    </sheetView>
  </sheetViews>
  <sheetFormatPr defaultRowHeight="15"/>
  <cols>
    <col min="1" max="1" width="63.28515625" bestFit="1" customWidth="1"/>
    <col min="2" max="2" width="12.5703125" bestFit="1" customWidth="1"/>
    <col min="3" max="3" width="71.28515625" bestFit="1" customWidth="1"/>
    <col min="4" max="4" width="64.140625" bestFit="1" customWidth="1"/>
    <col min="5" max="5" width="67.85546875" bestFit="1" customWidth="1"/>
    <col min="6" max="6" width="8.140625" bestFit="1" customWidth="1"/>
    <col min="7" max="7" width="5.85546875" bestFit="1" customWidth="1"/>
    <col min="8" max="8" width="7.140625" bestFit="1" customWidth="1"/>
    <col min="9" max="9" width="12.5703125" bestFit="1" customWidth="1"/>
    <col min="10" max="10" width="22.140625" bestFit="1" customWidth="1"/>
    <col min="11" max="15" width="14.7109375" bestFit="1" customWidth="1"/>
  </cols>
  <sheetData>
    <row r="1" spans="1:15">
      <c r="A1" t="s">
        <v>9</v>
      </c>
      <c r="B1" t="s">
        <v>10</v>
      </c>
      <c r="C1" t="s">
        <v>0</v>
      </c>
      <c r="D1" t="s">
        <v>11</v>
      </c>
      <c r="E1" t="s">
        <v>12</v>
      </c>
      <c r="F1" t="s">
        <v>13</v>
      </c>
      <c r="G1" s="1" t="s">
        <v>14</v>
      </c>
      <c r="H1" t="s">
        <v>362</v>
      </c>
      <c r="I1" s="2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</row>
    <row r="2" spans="1:15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s="1" t="s">
        <v>28</v>
      </c>
      <c r="H2">
        <v>3</v>
      </c>
      <c r="I2" s="2">
        <v>1500</v>
      </c>
      <c r="J2" t="s">
        <v>29</v>
      </c>
      <c r="K2" s="3">
        <f>tCategorias[[#This Row],[Valor R$]]*tCategorias[[#This Row],[Teto fator multiplicador]]</f>
        <v>4500</v>
      </c>
      <c r="L2" s="3">
        <f>tCategorias[[#This Row],[Valor R$]]*tCategorias[[#This Row],[Teto fator multiplicador]]*2</f>
        <v>9000</v>
      </c>
      <c r="M2" s="3">
        <f>tCategorias[[#This Row],[Valor R$]]*tCategorias[[#This Row],[Teto fator multiplicador]]*3</f>
        <v>13500</v>
      </c>
      <c r="N2" s="3">
        <f>tCategorias[[#This Row],[Valor R$]]*tCategorias[[#This Row],[Teto fator multiplicador]]*4</f>
        <v>18000</v>
      </c>
      <c r="O2" s="3">
        <f>(tCategorias[[#This Row],[Valor R$]]*0.8)*3+tCategorias[[#This Row],[Teto para 40h]]</f>
        <v>21600</v>
      </c>
    </row>
    <row r="3" spans="1:15">
      <c r="A3" t="s">
        <v>30</v>
      </c>
      <c r="B3" t="s">
        <v>31</v>
      </c>
      <c r="C3" t="s">
        <v>32</v>
      </c>
      <c r="D3" t="s">
        <v>25</v>
      </c>
      <c r="E3" t="s">
        <v>26</v>
      </c>
      <c r="F3" t="s">
        <v>27</v>
      </c>
      <c r="G3" s="1" t="s">
        <v>33</v>
      </c>
      <c r="H3">
        <v>3</v>
      </c>
      <c r="I3" s="2">
        <v>1400</v>
      </c>
      <c r="J3" t="s">
        <v>29</v>
      </c>
      <c r="K3" s="3">
        <f>tCategorias[[#This Row],[Valor R$]]*tCategorias[[#This Row],[Teto fator multiplicador]]</f>
        <v>4200</v>
      </c>
      <c r="L3" s="3">
        <f>tCategorias[[#This Row],[Valor R$]]*tCategorias[[#This Row],[Teto fator multiplicador]]*2</f>
        <v>8400</v>
      </c>
      <c r="M3" s="3">
        <f>tCategorias[[#This Row],[Valor R$]]*tCategorias[[#This Row],[Teto fator multiplicador]]*3</f>
        <v>12600</v>
      </c>
      <c r="N3" s="3">
        <f>tCategorias[[#This Row],[Valor R$]]*tCategorias[[#This Row],[Teto fator multiplicador]]*4</f>
        <v>16800</v>
      </c>
      <c r="O3" s="3">
        <f>(tCategorias[[#This Row],[Valor R$]]*0.8)*3+tCategorias[[#This Row],[Teto para 40h]]</f>
        <v>20160</v>
      </c>
    </row>
    <row r="4" spans="1:15">
      <c r="A4" t="s">
        <v>34</v>
      </c>
      <c r="B4" t="s">
        <v>35</v>
      </c>
      <c r="C4" t="s">
        <v>36</v>
      </c>
      <c r="D4" t="s">
        <v>25</v>
      </c>
      <c r="E4" t="s">
        <v>26</v>
      </c>
      <c r="F4" t="s">
        <v>27</v>
      </c>
      <c r="G4" s="1" t="s">
        <v>37</v>
      </c>
      <c r="H4">
        <v>3</v>
      </c>
      <c r="I4" s="2">
        <v>1300</v>
      </c>
      <c r="J4" t="s">
        <v>29</v>
      </c>
      <c r="K4" s="3">
        <f>tCategorias[[#This Row],[Valor R$]]*tCategorias[[#This Row],[Teto fator multiplicador]]</f>
        <v>3900</v>
      </c>
      <c r="L4" s="3">
        <f>tCategorias[[#This Row],[Valor R$]]*tCategorias[[#This Row],[Teto fator multiplicador]]*2</f>
        <v>7800</v>
      </c>
      <c r="M4" s="3">
        <f>tCategorias[[#This Row],[Valor R$]]*tCategorias[[#This Row],[Teto fator multiplicador]]*3</f>
        <v>11700</v>
      </c>
      <c r="N4" s="3">
        <f>tCategorias[[#This Row],[Valor R$]]*tCategorias[[#This Row],[Teto fator multiplicador]]*4</f>
        <v>15600</v>
      </c>
      <c r="O4" s="3">
        <f>(tCategorias[[#This Row],[Valor R$]]*0.8)*3+tCategorias[[#This Row],[Teto para 40h]]</f>
        <v>18720</v>
      </c>
    </row>
    <row r="5" spans="1:15">
      <c r="A5" t="s">
        <v>38</v>
      </c>
      <c r="B5" t="s">
        <v>39</v>
      </c>
      <c r="C5" t="s">
        <v>40</v>
      </c>
      <c r="D5" t="s">
        <v>25</v>
      </c>
      <c r="E5" t="s">
        <v>26</v>
      </c>
      <c r="F5" t="s">
        <v>27</v>
      </c>
      <c r="G5" s="1" t="s">
        <v>41</v>
      </c>
      <c r="H5">
        <v>3</v>
      </c>
      <c r="I5" s="2">
        <v>1200</v>
      </c>
      <c r="J5" t="s">
        <v>29</v>
      </c>
      <c r="K5" s="3">
        <f>tCategorias[[#This Row],[Valor R$]]*tCategorias[[#This Row],[Teto fator multiplicador]]</f>
        <v>3600</v>
      </c>
      <c r="L5" s="3">
        <f>tCategorias[[#This Row],[Valor R$]]*tCategorias[[#This Row],[Teto fator multiplicador]]*2</f>
        <v>7200</v>
      </c>
      <c r="M5" s="3">
        <f>tCategorias[[#This Row],[Valor R$]]*tCategorias[[#This Row],[Teto fator multiplicador]]*3</f>
        <v>10800</v>
      </c>
      <c r="N5" s="3">
        <f>tCategorias[[#This Row],[Valor R$]]*tCategorias[[#This Row],[Teto fator multiplicador]]*4</f>
        <v>14400</v>
      </c>
      <c r="O5" s="3">
        <f>(tCategorias[[#This Row],[Valor R$]]*0.8)*3+tCategorias[[#This Row],[Teto para 40h]]</f>
        <v>17280</v>
      </c>
    </row>
    <row r="6" spans="1:15">
      <c r="A6" t="s">
        <v>42</v>
      </c>
      <c r="B6" t="s">
        <v>43</v>
      </c>
      <c r="C6" t="s">
        <v>44</v>
      </c>
      <c r="D6" t="s">
        <v>25</v>
      </c>
      <c r="E6" t="s">
        <v>26</v>
      </c>
      <c r="F6" t="s">
        <v>27</v>
      </c>
      <c r="G6" s="1">
        <v>2</v>
      </c>
      <c r="H6">
        <v>3</v>
      </c>
      <c r="I6" s="2">
        <v>1100</v>
      </c>
      <c r="J6" t="s">
        <v>29</v>
      </c>
      <c r="K6" s="3">
        <f>tCategorias[[#This Row],[Valor R$]]*tCategorias[[#This Row],[Teto fator multiplicador]]</f>
        <v>3300</v>
      </c>
      <c r="L6" s="3">
        <f>tCategorias[[#This Row],[Valor R$]]*tCategorias[[#This Row],[Teto fator multiplicador]]*2</f>
        <v>6600</v>
      </c>
      <c r="M6" s="3">
        <f>tCategorias[[#This Row],[Valor R$]]*tCategorias[[#This Row],[Teto fator multiplicador]]*3</f>
        <v>9900</v>
      </c>
      <c r="N6" s="3">
        <f>tCategorias[[#This Row],[Valor R$]]*tCategorias[[#This Row],[Teto fator multiplicador]]*4</f>
        <v>13200</v>
      </c>
      <c r="O6" s="3">
        <f>(tCategorias[[#This Row],[Valor R$]]*0.8)*3+tCategorias[[#This Row],[Teto para 40h]]</f>
        <v>15840</v>
      </c>
    </row>
    <row r="7" spans="1:15">
      <c r="A7" t="s">
        <v>45</v>
      </c>
      <c r="B7" t="s">
        <v>46</v>
      </c>
      <c r="C7" t="s">
        <v>47</v>
      </c>
      <c r="D7" t="s">
        <v>25</v>
      </c>
      <c r="E7" t="s">
        <v>26</v>
      </c>
      <c r="F7" t="s">
        <v>27</v>
      </c>
      <c r="G7" s="1">
        <v>2</v>
      </c>
      <c r="H7">
        <v>3</v>
      </c>
      <c r="I7" s="2">
        <v>1100</v>
      </c>
      <c r="J7" t="s">
        <v>29</v>
      </c>
      <c r="K7" s="3">
        <f>tCategorias[[#This Row],[Valor R$]]*tCategorias[[#This Row],[Teto fator multiplicador]]</f>
        <v>3300</v>
      </c>
      <c r="L7" s="3">
        <f>tCategorias[[#This Row],[Valor R$]]*tCategorias[[#This Row],[Teto fator multiplicador]]*2</f>
        <v>6600</v>
      </c>
      <c r="M7" s="3">
        <f>tCategorias[[#This Row],[Valor R$]]*tCategorias[[#This Row],[Teto fator multiplicador]]*3</f>
        <v>9900</v>
      </c>
      <c r="N7" s="3">
        <f>tCategorias[[#This Row],[Valor R$]]*tCategorias[[#This Row],[Teto fator multiplicador]]*4</f>
        <v>13200</v>
      </c>
      <c r="O7" s="3">
        <f>(tCategorias[[#This Row],[Valor R$]]*0.8)*3+tCategorias[[#This Row],[Teto para 40h]]</f>
        <v>15840</v>
      </c>
    </row>
    <row r="8" spans="1:15">
      <c r="A8" t="s">
        <v>48</v>
      </c>
      <c r="B8" t="s">
        <v>49</v>
      </c>
      <c r="C8" t="s">
        <v>50</v>
      </c>
      <c r="D8" t="s">
        <v>51</v>
      </c>
      <c r="E8" t="s">
        <v>52</v>
      </c>
      <c r="F8" t="s">
        <v>53</v>
      </c>
      <c r="G8" s="1" t="s">
        <v>28</v>
      </c>
      <c r="H8">
        <v>3</v>
      </c>
      <c r="I8" s="2">
        <v>1500</v>
      </c>
      <c r="J8" t="s">
        <v>29</v>
      </c>
      <c r="K8" s="3">
        <f>tCategorias[[#This Row],[Valor R$]]*tCategorias[[#This Row],[Teto fator multiplicador]]</f>
        <v>4500</v>
      </c>
      <c r="L8" s="3">
        <f>tCategorias[[#This Row],[Valor R$]]*tCategorias[[#This Row],[Teto fator multiplicador]]*2</f>
        <v>9000</v>
      </c>
      <c r="M8" s="3">
        <f>tCategorias[[#This Row],[Valor R$]]*tCategorias[[#This Row],[Teto fator multiplicador]]*3</f>
        <v>13500</v>
      </c>
      <c r="N8" s="3">
        <f>tCategorias[[#This Row],[Valor R$]]*tCategorias[[#This Row],[Teto fator multiplicador]]*4</f>
        <v>18000</v>
      </c>
      <c r="O8" s="3">
        <f>(tCategorias[[#This Row],[Valor R$]]*0.8)*3+tCategorias[[#This Row],[Teto para 40h]]</f>
        <v>21600</v>
      </c>
    </row>
    <row r="9" spans="1:15">
      <c r="A9" t="s">
        <v>54</v>
      </c>
      <c r="B9" t="s">
        <v>55</v>
      </c>
      <c r="C9" t="s">
        <v>56</v>
      </c>
      <c r="D9" t="s">
        <v>51</v>
      </c>
      <c r="E9" t="s">
        <v>52</v>
      </c>
      <c r="F9" t="s">
        <v>53</v>
      </c>
      <c r="G9" s="1" t="s">
        <v>33</v>
      </c>
      <c r="H9">
        <v>3</v>
      </c>
      <c r="I9" s="2">
        <v>1400</v>
      </c>
      <c r="J9" t="s">
        <v>29</v>
      </c>
      <c r="K9" s="3">
        <f>tCategorias[[#This Row],[Valor R$]]*tCategorias[[#This Row],[Teto fator multiplicador]]</f>
        <v>4200</v>
      </c>
      <c r="L9" s="3">
        <f>tCategorias[[#This Row],[Valor R$]]*tCategorias[[#This Row],[Teto fator multiplicador]]*2</f>
        <v>8400</v>
      </c>
      <c r="M9" s="3">
        <f>tCategorias[[#This Row],[Valor R$]]*tCategorias[[#This Row],[Teto fator multiplicador]]*3</f>
        <v>12600</v>
      </c>
      <c r="N9" s="3">
        <f>tCategorias[[#This Row],[Valor R$]]*tCategorias[[#This Row],[Teto fator multiplicador]]*4</f>
        <v>16800</v>
      </c>
      <c r="O9" s="3">
        <f>(tCategorias[[#This Row],[Valor R$]]*0.8)*3+tCategorias[[#This Row],[Teto para 40h]]</f>
        <v>20160</v>
      </c>
    </row>
    <row r="10" spans="1:15">
      <c r="A10" t="s">
        <v>57</v>
      </c>
      <c r="B10" t="s">
        <v>58</v>
      </c>
      <c r="C10" t="s">
        <v>59</v>
      </c>
      <c r="D10" t="s">
        <v>51</v>
      </c>
      <c r="E10" t="s">
        <v>52</v>
      </c>
      <c r="F10" t="s">
        <v>53</v>
      </c>
      <c r="G10" s="1" t="s">
        <v>33</v>
      </c>
      <c r="H10">
        <v>3</v>
      </c>
      <c r="I10" s="2">
        <v>1400</v>
      </c>
      <c r="J10" t="s">
        <v>29</v>
      </c>
      <c r="K10" s="3">
        <f>tCategorias[[#This Row],[Valor R$]]*tCategorias[[#This Row],[Teto fator multiplicador]]</f>
        <v>4200</v>
      </c>
      <c r="L10" s="3">
        <f>tCategorias[[#This Row],[Valor R$]]*tCategorias[[#This Row],[Teto fator multiplicador]]*2</f>
        <v>8400</v>
      </c>
      <c r="M10" s="3">
        <f>tCategorias[[#This Row],[Valor R$]]*tCategorias[[#This Row],[Teto fator multiplicador]]*3</f>
        <v>12600</v>
      </c>
      <c r="N10" s="3">
        <f>tCategorias[[#This Row],[Valor R$]]*tCategorias[[#This Row],[Teto fator multiplicador]]*4</f>
        <v>16800</v>
      </c>
      <c r="O10" s="3">
        <f>(tCategorias[[#This Row],[Valor R$]]*0.8)*3+tCategorias[[#This Row],[Teto para 40h]]</f>
        <v>20160</v>
      </c>
    </row>
    <row r="11" spans="1:15">
      <c r="A11" t="s">
        <v>60</v>
      </c>
      <c r="B11" t="s">
        <v>61</v>
      </c>
      <c r="C11" t="s">
        <v>62</v>
      </c>
      <c r="D11" t="s">
        <v>51</v>
      </c>
      <c r="E11" t="s">
        <v>52</v>
      </c>
      <c r="F11" t="s">
        <v>53</v>
      </c>
      <c r="G11" s="1" t="s">
        <v>37</v>
      </c>
      <c r="H11">
        <v>3</v>
      </c>
      <c r="I11" s="2">
        <v>1300</v>
      </c>
      <c r="J11" t="s">
        <v>29</v>
      </c>
      <c r="K11" s="3">
        <f>tCategorias[[#This Row],[Valor R$]]*tCategorias[[#This Row],[Teto fator multiplicador]]</f>
        <v>3900</v>
      </c>
      <c r="L11" s="3">
        <f>tCategorias[[#This Row],[Valor R$]]*tCategorias[[#This Row],[Teto fator multiplicador]]*2</f>
        <v>7800</v>
      </c>
      <c r="M11" s="3">
        <f>tCategorias[[#This Row],[Valor R$]]*tCategorias[[#This Row],[Teto fator multiplicador]]*3</f>
        <v>11700</v>
      </c>
      <c r="N11" s="3">
        <f>tCategorias[[#This Row],[Valor R$]]*tCategorias[[#This Row],[Teto fator multiplicador]]*4</f>
        <v>15600</v>
      </c>
      <c r="O11" s="3">
        <f>(tCategorias[[#This Row],[Valor R$]]*0.8)*3+tCategorias[[#This Row],[Teto para 40h]]</f>
        <v>18720</v>
      </c>
    </row>
    <row r="12" spans="1:15">
      <c r="A12" t="s">
        <v>63</v>
      </c>
      <c r="B12" t="s">
        <v>64</v>
      </c>
      <c r="C12" t="s">
        <v>65</v>
      </c>
      <c r="D12" t="s">
        <v>51</v>
      </c>
      <c r="E12" t="s">
        <v>52</v>
      </c>
      <c r="F12" t="s">
        <v>53</v>
      </c>
      <c r="G12" s="1">
        <v>2</v>
      </c>
      <c r="H12">
        <v>3</v>
      </c>
      <c r="I12" s="2">
        <v>1300</v>
      </c>
      <c r="J12" t="s">
        <v>29</v>
      </c>
      <c r="K12" s="3">
        <f>tCategorias[[#This Row],[Valor R$]]*tCategorias[[#This Row],[Teto fator multiplicador]]</f>
        <v>3900</v>
      </c>
      <c r="L12" s="3">
        <f>tCategorias[[#This Row],[Valor R$]]*tCategorias[[#This Row],[Teto fator multiplicador]]*2</f>
        <v>7800</v>
      </c>
      <c r="M12" s="3">
        <f>tCategorias[[#This Row],[Valor R$]]*tCategorias[[#This Row],[Teto fator multiplicador]]*3</f>
        <v>11700</v>
      </c>
      <c r="N12" s="3">
        <f>tCategorias[[#This Row],[Valor R$]]*tCategorias[[#This Row],[Teto fator multiplicador]]*4</f>
        <v>15600</v>
      </c>
      <c r="O12" s="3">
        <f>(tCategorias[[#This Row],[Valor R$]]*0.8)*3+tCategorias[[#This Row],[Teto para 40h]]</f>
        <v>18720</v>
      </c>
    </row>
    <row r="13" spans="1:15">
      <c r="A13" t="s">
        <v>66</v>
      </c>
      <c r="B13" t="s">
        <v>67</v>
      </c>
      <c r="C13" t="s">
        <v>68</v>
      </c>
      <c r="D13" t="s">
        <v>51</v>
      </c>
      <c r="E13" t="s">
        <v>52</v>
      </c>
      <c r="F13" t="s">
        <v>53</v>
      </c>
      <c r="G13" s="1">
        <v>2</v>
      </c>
      <c r="H13">
        <v>3</v>
      </c>
      <c r="I13" s="2">
        <v>1300</v>
      </c>
      <c r="J13" t="s">
        <v>29</v>
      </c>
      <c r="K13" s="3">
        <f>tCategorias[[#This Row],[Valor R$]]*tCategorias[[#This Row],[Teto fator multiplicador]]</f>
        <v>3900</v>
      </c>
      <c r="L13" s="3">
        <f>tCategorias[[#This Row],[Valor R$]]*tCategorias[[#This Row],[Teto fator multiplicador]]*2</f>
        <v>7800</v>
      </c>
      <c r="M13" s="3">
        <f>tCategorias[[#This Row],[Valor R$]]*tCategorias[[#This Row],[Teto fator multiplicador]]*3</f>
        <v>11700</v>
      </c>
      <c r="N13" s="3">
        <f>tCategorias[[#This Row],[Valor R$]]*tCategorias[[#This Row],[Teto fator multiplicador]]*4</f>
        <v>15600</v>
      </c>
      <c r="O13" s="3">
        <f>(tCategorias[[#This Row],[Valor R$]]*0.8)*3+tCategorias[[#This Row],[Teto para 40h]]</f>
        <v>18720</v>
      </c>
    </row>
    <row r="14" spans="1:15">
      <c r="A14" t="s">
        <v>69</v>
      </c>
      <c r="B14" t="s">
        <v>70</v>
      </c>
      <c r="C14" t="s">
        <v>71</v>
      </c>
      <c r="D14" t="s">
        <v>51</v>
      </c>
      <c r="E14" t="s">
        <v>52</v>
      </c>
      <c r="F14" t="s">
        <v>53</v>
      </c>
      <c r="G14" s="1" t="s">
        <v>28</v>
      </c>
      <c r="H14">
        <v>8</v>
      </c>
      <c r="I14" s="2">
        <v>1500</v>
      </c>
      <c r="J14" t="s">
        <v>29</v>
      </c>
      <c r="K14" s="3">
        <f>tCategorias[[#This Row],[Valor R$]]*tCategorias[[#This Row],[Teto fator multiplicador]]</f>
        <v>12000</v>
      </c>
      <c r="L14" s="3">
        <f>tCategorias[[#This Row],[Valor R$]]*tCategorias[[#This Row],[Teto fator multiplicador]]*2</f>
        <v>24000</v>
      </c>
      <c r="M14" s="3">
        <f>tCategorias[[#This Row],[Valor R$]]*tCategorias[[#This Row],[Teto fator multiplicador]]*3</f>
        <v>36000</v>
      </c>
      <c r="N14" s="3">
        <f>tCategorias[[#This Row],[Valor R$]]*tCategorias[[#This Row],[Teto fator multiplicador]]*4</f>
        <v>48000</v>
      </c>
      <c r="O14" s="3">
        <f>(tCategorias[[#This Row],[Valor R$]]*0.8)*3+tCategorias[[#This Row],[Teto para 40h]]</f>
        <v>51600</v>
      </c>
    </row>
    <row r="15" spans="1:15">
      <c r="A15" t="s">
        <v>72</v>
      </c>
      <c r="B15" t="s">
        <v>73</v>
      </c>
      <c r="C15" t="s">
        <v>74</v>
      </c>
      <c r="D15" t="s">
        <v>51</v>
      </c>
      <c r="E15" t="s">
        <v>52</v>
      </c>
      <c r="F15" t="s">
        <v>53</v>
      </c>
      <c r="G15" s="1" t="s">
        <v>33</v>
      </c>
      <c r="H15">
        <v>7</v>
      </c>
      <c r="I15" s="2">
        <v>1400</v>
      </c>
      <c r="J15" t="s">
        <v>29</v>
      </c>
      <c r="K15" s="3">
        <f>tCategorias[[#This Row],[Valor R$]]*tCategorias[[#This Row],[Teto fator multiplicador]]</f>
        <v>9800</v>
      </c>
      <c r="L15" s="3">
        <f>tCategorias[[#This Row],[Valor R$]]*tCategorias[[#This Row],[Teto fator multiplicador]]*2</f>
        <v>19600</v>
      </c>
      <c r="M15" s="3">
        <f>tCategorias[[#This Row],[Valor R$]]*tCategorias[[#This Row],[Teto fator multiplicador]]*3</f>
        <v>29400</v>
      </c>
      <c r="N15" s="3">
        <f>tCategorias[[#This Row],[Valor R$]]*tCategorias[[#This Row],[Teto fator multiplicador]]*4</f>
        <v>39200</v>
      </c>
      <c r="O15" s="3">
        <f>(tCategorias[[#This Row],[Valor R$]]*0.8)*3+tCategorias[[#This Row],[Teto para 40h]]</f>
        <v>42560</v>
      </c>
    </row>
    <row r="16" spans="1:15">
      <c r="A16" t="s">
        <v>75</v>
      </c>
      <c r="B16" t="s">
        <v>76</v>
      </c>
      <c r="C16" t="s">
        <v>77</v>
      </c>
      <c r="D16" t="s">
        <v>51</v>
      </c>
      <c r="E16" t="s">
        <v>52</v>
      </c>
      <c r="F16" t="s">
        <v>53</v>
      </c>
      <c r="G16" s="1" t="s">
        <v>37</v>
      </c>
      <c r="H16">
        <v>6</v>
      </c>
      <c r="I16" s="2">
        <v>1300</v>
      </c>
      <c r="J16" t="s">
        <v>29</v>
      </c>
      <c r="K16" s="3">
        <f>tCategorias[[#This Row],[Valor R$]]*tCategorias[[#This Row],[Teto fator multiplicador]]</f>
        <v>7800</v>
      </c>
      <c r="L16" s="3">
        <f>tCategorias[[#This Row],[Valor R$]]*tCategorias[[#This Row],[Teto fator multiplicador]]*2</f>
        <v>15600</v>
      </c>
      <c r="M16" s="3">
        <f>tCategorias[[#This Row],[Valor R$]]*tCategorias[[#This Row],[Teto fator multiplicador]]*3</f>
        <v>23400</v>
      </c>
      <c r="N16" s="3">
        <f>tCategorias[[#This Row],[Valor R$]]*tCategorias[[#This Row],[Teto fator multiplicador]]*4</f>
        <v>31200</v>
      </c>
      <c r="O16" s="3">
        <f>(tCategorias[[#This Row],[Valor R$]]*0.8)*3+tCategorias[[#This Row],[Teto para 40h]]</f>
        <v>34320</v>
      </c>
    </row>
    <row r="17" spans="1:15">
      <c r="A17" t="s">
        <v>78</v>
      </c>
      <c r="B17" t="s">
        <v>79</v>
      </c>
      <c r="C17" t="s">
        <v>80</v>
      </c>
      <c r="D17" t="s">
        <v>51</v>
      </c>
      <c r="E17" t="s">
        <v>52</v>
      </c>
      <c r="F17" t="s">
        <v>53</v>
      </c>
      <c r="G17" s="1" t="s">
        <v>41</v>
      </c>
      <c r="H17">
        <v>5</v>
      </c>
      <c r="I17" s="2">
        <v>1200</v>
      </c>
      <c r="J17" t="s">
        <v>29</v>
      </c>
      <c r="K17" s="3">
        <f>tCategorias[[#This Row],[Valor R$]]*tCategorias[[#This Row],[Teto fator multiplicador]]</f>
        <v>6000</v>
      </c>
      <c r="L17" s="3">
        <f>tCategorias[[#This Row],[Valor R$]]*tCategorias[[#This Row],[Teto fator multiplicador]]*2</f>
        <v>12000</v>
      </c>
      <c r="M17" s="3">
        <f>tCategorias[[#This Row],[Valor R$]]*tCategorias[[#This Row],[Teto fator multiplicador]]*3</f>
        <v>18000</v>
      </c>
      <c r="N17" s="3">
        <f>tCategorias[[#This Row],[Valor R$]]*tCategorias[[#This Row],[Teto fator multiplicador]]*4</f>
        <v>24000</v>
      </c>
      <c r="O17" s="3">
        <f>(tCategorias[[#This Row],[Valor R$]]*0.8)*3+tCategorias[[#This Row],[Teto para 40h]]</f>
        <v>26880</v>
      </c>
    </row>
    <row r="18" spans="1:15">
      <c r="A18" t="s">
        <v>81</v>
      </c>
      <c r="B18" t="s">
        <v>82</v>
      </c>
      <c r="C18" t="s">
        <v>6</v>
      </c>
      <c r="D18" t="s">
        <v>51</v>
      </c>
      <c r="E18" t="s">
        <v>52</v>
      </c>
      <c r="F18" t="s">
        <v>53</v>
      </c>
      <c r="G18" s="1" t="s">
        <v>28</v>
      </c>
      <c r="H18">
        <v>8</v>
      </c>
      <c r="I18" s="2">
        <v>1500</v>
      </c>
      <c r="J18" t="s">
        <v>29</v>
      </c>
      <c r="K18" s="3">
        <f>tCategorias[[#This Row],[Valor R$]]*tCategorias[[#This Row],[Teto fator multiplicador]]</f>
        <v>12000</v>
      </c>
      <c r="L18" s="3">
        <f>tCategorias[[#This Row],[Valor R$]]*tCategorias[[#This Row],[Teto fator multiplicador]]*2</f>
        <v>24000</v>
      </c>
      <c r="M18" s="3">
        <f>tCategorias[[#This Row],[Valor R$]]*tCategorias[[#This Row],[Teto fator multiplicador]]*3</f>
        <v>36000</v>
      </c>
      <c r="N18" s="3">
        <f>tCategorias[[#This Row],[Valor R$]]*tCategorias[[#This Row],[Teto fator multiplicador]]*4</f>
        <v>48000</v>
      </c>
      <c r="O18" s="3">
        <f>(tCategorias[[#This Row],[Valor R$]]*0.8)*3+tCategorias[[#This Row],[Teto para 40h]]</f>
        <v>51600</v>
      </c>
    </row>
    <row r="19" spans="1:15">
      <c r="A19" t="s">
        <v>83</v>
      </c>
      <c r="B19" t="s">
        <v>84</v>
      </c>
      <c r="C19" t="s">
        <v>85</v>
      </c>
      <c r="D19" t="s">
        <v>51</v>
      </c>
      <c r="E19" t="s">
        <v>52</v>
      </c>
      <c r="F19" t="s">
        <v>53</v>
      </c>
      <c r="G19" s="1" t="s">
        <v>33</v>
      </c>
      <c r="H19">
        <v>7</v>
      </c>
      <c r="I19" s="2">
        <v>1400</v>
      </c>
      <c r="J19" t="s">
        <v>29</v>
      </c>
      <c r="K19" s="3">
        <f>tCategorias[[#This Row],[Valor R$]]*tCategorias[[#This Row],[Teto fator multiplicador]]</f>
        <v>9800</v>
      </c>
      <c r="L19" s="3">
        <f>tCategorias[[#This Row],[Valor R$]]*tCategorias[[#This Row],[Teto fator multiplicador]]*2</f>
        <v>19600</v>
      </c>
      <c r="M19" s="3">
        <f>tCategorias[[#This Row],[Valor R$]]*tCategorias[[#This Row],[Teto fator multiplicador]]*3</f>
        <v>29400</v>
      </c>
      <c r="N19" s="3">
        <f>tCategorias[[#This Row],[Valor R$]]*tCategorias[[#This Row],[Teto fator multiplicador]]*4</f>
        <v>39200</v>
      </c>
      <c r="O19" s="3">
        <f>(tCategorias[[#This Row],[Valor R$]]*0.8)*3+tCategorias[[#This Row],[Teto para 40h]]</f>
        <v>42560</v>
      </c>
    </row>
    <row r="20" spans="1:15">
      <c r="A20" t="s">
        <v>86</v>
      </c>
      <c r="B20" t="s">
        <v>87</v>
      </c>
      <c r="C20" t="s">
        <v>88</v>
      </c>
      <c r="D20" t="s">
        <v>51</v>
      </c>
      <c r="E20" t="s">
        <v>52</v>
      </c>
      <c r="F20" t="s">
        <v>53</v>
      </c>
      <c r="G20" s="1" t="s">
        <v>37</v>
      </c>
      <c r="H20">
        <v>6</v>
      </c>
      <c r="I20" s="2">
        <v>1300</v>
      </c>
      <c r="J20" t="s">
        <v>29</v>
      </c>
      <c r="K20" s="3">
        <f>tCategorias[[#This Row],[Valor R$]]*tCategorias[[#This Row],[Teto fator multiplicador]]</f>
        <v>7800</v>
      </c>
      <c r="L20" s="3">
        <f>tCategorias[[#This Row],[Valor R$]]*tCategorias[[#This Row],[Teto fator multiplicador]]*2</f>
        <v>15600</v>
      </c>
      <c r="M20" s="3">
        <f>tCategorias[[#This Row],[Valor R$]]*tCategorias[[#This Row],[Teto fator multiplicador]]*3</f>
        <v>23400</v>
      </c>
      <c r="N20" s="3">
        <f>tCategorias[[#This Row],[Valor R$]]*tCategorias[[#This Row],[Teto fator multiplicador]]*4</f>
        <v>31200</v>
      </c>
      <c r="O20" s="3">
        <f>(tCategorias[[#This Row],[Valor R$]]*0.8)*3+tCategorias[[#This Row],[Teto para 40h]]</f>
        <v>34320</v>
      </c>
    </row>
    <row r="21" spans="1:15">
      <c r="A21" t="s">
        <v>89</v>
      </c>
      <c r="B21" t="s">
        <v>90</v>
      </c>
      <c r="C21" t="s">
        <v>91</v>
      </c>
      <c r="D21" t="s">
        <v>51</v>
      </c>
      <c r="E21" t="s">
        <v>52</v>
      </c>
      <c r="F21" t="s">
        <v>53</v>
      </c>
      <c r="G21" s="1" t="s">
        <v>41</v>
      </c>
      <c r="H21">
        <v>5</v>
      </c>
      <c r="I21" s="2">
        <v>1200</v>
      </c>
      <c r="J21" t="s">
        <v>29</v>
      </c>
      <c r="K21" s="3">
        <f>tCategorias[[#This Row],[Valor R$]]*tCategorias[[#This Row],[Teto fator multiplicador]]</f>
        <v>6000</v>
      </c>
      <c r="L21" s="3">
        <f>tCategorias[[#This Row],[Valor R$]]*tCategorias[[#This Row],[Teto fator multiplicador]]*2</f>
        <v>12000</v>
      </c>
      <c r="M21" s="3">
        <f>tCategorias[[#This Row],[Valor R$]]*tCategorias[[#This Row],[Teto fator multiplicador]]*3</f>
        <v>18000</v>
      </c>
      <c r="N21" s="3">
        <f>tCategorias[[#This Row],[Valor R$]]*tCategorias[[#This Row],[Teto fator multiplicador]]*4</f>
        <v>24000</v>
      </c>
      <c r="O21" s="3">
        <f>(tCategorias[[#This Row],[Valor R$]]*0.8)*3+tCategorias[[#This Row],[Teto para 40h]]</f>
        <v>26880</v>
      </c>
    </row>
    <row r="22" spans="1:15">
      <c r="A22" t="s">
        <v>92</v>
      </c>
      <c r="B22" t="s">
        <v>93</v>
      </c>
      <c r="C22" t="s">
        <v>2</v>
      </c>
      <c r="D22" t="s">
        <v>51</v>
      </c>
      <c r="E22" t="s">
        <v>52</v>
      </c>
      <c r="F22" t="s">
        <v>53</v>
      </c>
      <c r="G22" s="1" t="s">
        <v>28</v>
      </c>
      <c r="H22">
        <v>8</v>
      </c>
      <c r="I22" s="2">
        <v>1500</v>
      </c>
      <c r="J22" t="s">
        <v>29</v>
      </c>
      <c r="K22" s="3">
        <f>tCategorias[[#This Row],[Valor R$]]*tCategorias[[#This Row],[Teto fator multiplicador]]</f>
        <v>12000</v>
      </c>
      <c r="L22" s="3">
        <f>tCategorias[[#This Row],[Valor R$]]*tCategorias[[#This Row],[Teto fator multiplicador]]*2</f>
        <v>24000</v>
      </c>
      <c r="M22" s="3">
        <f>tCategorias[[#This Row],[Valor R$]]*tCategorias[[#This Row],[Teto fator multiplicador]]*3</f>
        <v>36000</v>
      </c>
      <c r="N22" s="3">
        <f>tCategorias[[#This Row],[Valor R$]]*tCategorias[[#This Row],[Teto fator multiplicador]]*4</f>
        <v>48000</v>
      </c>
      <c r="O22" s="3">
        <f>(tCategorias[[#This Row],[Valor R$]]*0.8)*3+tCategorias[[#This Row],[Teto para 40h]]</f>
        <v>51600</v>
      </c>
    </row>
    <row r="23" spans="1:15">
      <c r="A23" t="s">
        <v>94</v>
      </c>
      <c r="B23" t="s">
        <v>95</v>
      </c>
      <c r="C23" t="s">
        <v>5</v>
      </c>
      <c r="D23" t="s">
        <v>51</v>
      </c>
      <c r="E23" t="s">
        <v>52</v>
      </c>
      <c r="F23" t="s">
        <v>53</v>
      </c>
      <c r="G23" s="1" t="s">
        <v>33</v>
      </c>
      <c r="H23">
        <v>7</v>
      </c>
      <c r="I23" s="2">
        <v>1400</v>
      </c>
      <c r="J23" t="s">
        <v>29</v>
      </c>
      <c r="K23" s="3">
        <f>tCategorias[[#This Row],[Valor R$]]*tCategorias[[#This Row],[Teto fator multiplicador]]</f>
        <v>9800</v>
      </c>
      <c r="L23" s="3">
        <f>tCategorias[[#This Row],[Valor R$]]*tCategorias[[#This Row],[Teto fator multiplicador]]*2</f>
        <v>19600</v>
      </c>
      <c r="M23" s="3">
        <f>tCategorias[[#This Row],[Valor R$]]*tCategorias[[#This Row],[Teto fator multiplicador]]*3</f>
        <v>29400</v>
      </c>
      <c r="N23" s="3">
        <f>tCategorias[[#This Row],[Valor R$]]*tCategorias[[#This Row],[Teto fator multiplicador]]*4</f>
        <v>39200</v>
      </c>
      <c r="O23" s="3">
        <f>(tCategorias[[#This Row],[Valor R$]]*0.8)*3+tCategorias[[#This Row],[Teto para 40h]]</f>
        <v>42560</v>
      </c>
    </row>
    <row r="24" spans="1:15">
      <c r="A24" t="s">
        <v>96</v>
      </c>
      <c r="B24" t="s">
        <v>97</v>
      </c>
      <c r="C24" t="s">
        <v>1</v>
      </c>
      <c r="D24" t="s">
        <v>51</v>
      </c>
      <c r="E24" t="s">
        <v>52</v>
      </c>
      <c r="F24" t="s">
        <v>53</v>
      </c>
      <c r="G24" s="1" t="s">
        <v>37</v>
      </c>
      <c r="H24">
        <v>5</v>
      </c>
      <c r="I24" s="2">
        <v>1300</v>
      </c>
      <c r="J24" t="s">
        <v>29</v>
      </c>
      <c r="K24" s="3">
        <f>tCategorias[[#This Row],[Valor R$]]*tCategorias[[#This Row],[Teto fator multiplicador]]</f>
        <v>6500</v>
      </c>
      <c r="L24" s="3">
        <f>tCategorias[[#This Row],[Valor R$]]*tCategorias[[#This Row],[Teto fator multiplicador]]*2</f>
        <v>13000</v>
      </c>
      <c r="M24" s="3">
        <f>tCategorias[[#This Row],[Valor R$]]*tCategorias[[#This Row],[Teto fator multiplicador]]*3</f>
        <v>19500</v>
      </c>
      <c r="N24" s="3">
        <f>tCategorias[[#This Row],[Valor R$]]*tCategorias[[#This Row],[Teto fator multiplicador]]*4</f>
        <v>26000</v>
      </c>
      <c r="O24" s="3">
        <f>(tCategorias[[#This Row],[Valor R$]]*0.8)*3+tCategorias[[#This Row],[Teto para 40h]]</f>
        <v>29120</v>
      </c>
    </row>
    <row r="25" spans="1:15">
      <c r="A25" t="s">
        <v>98</v>
      </c>
      <c r="B25" t="s">
        <v>99</v>
      </c>
      <c r="C25" t="s">
        <v>7</v>
      </c>
      <c r="D25" t="s">
        <v>51</v>
      </c>
      <c r="E25" t="s">
        <v>52</v>
      </c>
      <c r="F25" t="s">
        <v>53</v>
      </c>
      <c r="G25" s="1" t="s">
        <v>41</v>
      </c>
      <c r="H25">
        <v>4</v>
      </c>
      <c r="I25" s="2">
        <v>1200</v>
      </c>
      <c r="J25" t="s">
        <v>29</v>
      </c>
      <c r="K25" s="3">
        <f>tCategorias[[#This Row],[Valor R$]]*tCategorias[[#This Row],[Teto fator multiplicador]]</f>
        <v>4800</v>
      </c>
      <c r="L25" s="3">
        <f>tCategorias[[#This Row],[Valor R$]]*tCategorias[[#This Row],[Teto fator multiplicador]]*2</f>
        <v>9600</v>
      </c>
      <c r="M25" s="3">
        <f>tCategorias[[#This Row],[Valor R$]]*tCategorias[[#This Row],[Teto fator multiplicador]]*3</f>
        <v>14400</v>
      </c>
      <c r="N25" s="3">
        <f>tCategorias[[#This Row],[Valor R$]]*tCategorias[[#This Row],[Teto fator multiplicador]]*4</f>
        <v>19200</v>
      </c>
      <c r="O25" s="3">
        <f>(tCategorias[[#This Row],[Valor R$]]*0.8)*3+tCategorias[[#This Row],[Teto para 40h]]</f>
        <v>22080</v>
      </c>
    </row>
    <row r="26" spans="1:15">
      <c r="A26" t="s">
        <v>100</v>
      </c>
      <c r="B26" t="s">
        <v>101</v>
      </c>
      <c r="C26" t="s">
        <v>3</v>
      </c>
      <c r="D26" t="s">
        <v>51</v>
      </c>
      <c r="E26" t="s">
        <v>52</v>
      </c>
      <c r="F26" t="s">
        <v>53</v>
      </c>
      <c r="G26" s="1">
        <v>2</v>
      </c>
      <c r="H26">
        <v>3</v>
      </c>
      <c r="I26" s="2">
        <v>1300</v>
      </c>
      <c r="J26" t="s">
        <v>29</v>
      </c>
      <c r="K26" s="3">
        <f>tCategorias[[#This Row],[Valor R$]]*tCategorias[[#This Row],[Teto fator multiplicador]]</f>
        <v>3900</v>
      </c>
      <c r="L26" s="3">
        <f>tCategorias[[#This Row],[Valor R$]]*tCategorias[[#This Row],[Teto fator multiplicador]]*2</f>
        <v>7800</v>
      </c>
      <c r="M26" s="3">
        <f>tCategorias[[#This Row],[Valor R$]]*tCategorias[[#This Row],[Teto fator multiplicador]]*3</f>
        <v>11700</v>
      </c>
      <c r="N26" s="3">
        <f>tCategorias[[#This Row],[Valor R$]]*tCategorias[[#This Row],[Teto fator multiplicador]]*4</f>
        <v>15600</v>
      </c>
      <c r="O26" s="3">
        <f>(tCategorias[[#This Row],[Valor R$]]*0.8)*3+tCategorias[[#This Row],[Teto para 40h]]</f>
        <v>18720</v>
      </c>
    </row>
    <row r="27" spans="1:15">
      <c r="A27" t="s">
        <v>102</v>
      </c>
      <c r="B27" t="s">
        <v>103</v>
      </c>
      <c r="C27" t="s">
        <v>4</v>
      </c>
      <c r="D27" t="s">
        <v>51</v>
      </c>
      <c r="E27" t="s">
        <v>52</v>
      </c>
      <c r="F27" t="s">
        <v>53</v>
      </c>
      <c r="G27" s="1">
        <v>2</v>
      </c>
      <c r="H27">
        <v>2</v>
      </c>
      <c r="I27" s="2">
        <v>1300</v>
      </c>
      <c r="J27" t="s">
        <v>29</v>
      </c>
      <c r="K27" s="3">
        <f>tCategorias[[#This Row],[Valor R$]]*tCategorias[[#This Row],[Teto fator multiplicador]]</f>
        <v>2600</v>
      </c>
      <c r="L27" s="3">
        <f>tCategorias[[#This Row],[Valor R$]]*tCategorias[[#This Row],[Teto fator multiplicador]]*2</f>
        <v>5200</v>
      </c>
      <c r="M27" s="3">
        <f>tCategorias[[#This Row],[Valor R$]]*tCategorias[[#This Row],[Teto fator multiplicador]]*3</f>
        <v>7800</v>
      </c>
      <c r="N27" s="3">
        <f>tCategorias[[#This Row],[Valor R$]]*tCategorias[[#This Row],[Teto fator multiplicador]]*4</f>
        <v>10400</v>
      </c>
      <c r="O27" s="3">
        <f>(tCategorias[[#This Row],[Valor R$]]*0.8)*3+tCategorias[[#This Row],[Teto para 40h]]</f>
        <v>13520</v>
      </c>
    </row>
    <row r="28" spans="1:15">
      <c r="A28" t="s">
        <v>104</v>
      </c>
      <c r="B28" t="s">
        <v>105</v>
      </c>
      <c r="C28" t="s">
        <v>106</v>
      </c>
      <c r="D28" t="s">
        <v>107</v>
      </c>
      <c r="E28" t="s">
        <v>108</v>
      </c>
      <c r="F28" t="s">
        <v>109</v>
      </c>
      <c r="G28" s="1" t="s">
        <v>109</v>
      </c>
      <c r="H28">
        <v>3</v>
      </c>
      <c r="I28" s="2">
        <v>3100</v>
      </c>
      <c r="J28" t="s">
        <v>29</v>
      </c>
      <c r="K28" s="3">
        <f>tCategorias[[#This Row],[Valor R$]]*tCategorias[[#This Row],[Teto fator multiplicador]]</f>
        <v>9300</v>
      </c>
      <c r="L28" s="3">
        <f>tCategorias[[#This Row],[Valor R$]]*tCategorias[[#This Row],[Teto fator multiplicador]]*2</f>
        <v>18600</v>
      </c>
      <c r="M28" s="3">
        <f>tCategorias[[#This Row],[Valor R$]]*tCategorias[[#This Row],[Teto fator multiplicador]]*3</f>
        <v>27900</v>
      </c>
      <c r="N28" s="3">
        <f>tCategorias[[#This Row],[Valor R$]]*tCategorias[[#This Row],[Teto fator multiplicador]]*4</f>
        <v>37200</v>
      </c>
      <c r="O28" s="3">
        <f>(tCategorias[[#This Row],[Valor R$]]*0.8)*3+tCategorias[[#This Row],[Teto para 40h]]</f>
        <v>44640</v>
      </c>
    </row>
    <row r="29" spans="1:15">
      <c r="A29" t="s">
        <v>110</v>
      </c>
      <c r="B29" t="s">
        <v>111</v>
      </c>
      <c r="C29" t="s">
        <v>112</v>
      </c>
      <c r="D29" t="s">
        <v>113</v>
      </c>
      <c r="E29" t="s">
        <v>114</v>
      </c>
      <c r="F29" t="s">
        <v>115</v>
      </c>
      <c r="G29" s="1" t="s">
        <v>115</v>
      </c>
      <c r="H29">
        <v>3</v>
      </c>
      <c r="I29" s="2">
        <v>2100</v>
      </c>
      <c r="J29" t="s">
        <v>29</v>
      </c>
      <c r="K29" s="3">
        <f>tCategorias[[#This Row],[Valor R$]]*tCategorias[[#This Row],[Teto fator multiplicador]]</f>
        <v>6300</v>
      </c>
      <c r="L29" s="3">
        <f>tCategorias[[#This Row],[Valor R$]]*tCategorias[[#This Row],[Teto fator multiplicador]]*2</f>
        <v>12600</v>
      </c>
      <c r="M29" s="3">
        <f>tCategorias[[#This Row],[Valor R$]]*tCategorias[[#This Row],[Teto fator multiplicador]]*3</f>
        <v>18900</v>
      </c>
      <c r="N29" s="3">
        <f>tCategorias[[#This Row],[Valor R$]]*tCategorias[[#This Row],[Teto fator multiplicador]]*4</f>
        <v>25200</v>
      </c>
      <c r="O29" s="3">
        <f>(tCategorias[[#This Row],[Valor R$]]*0.8)*3+tCategorias[[#This Row],[Teto para 40h]]</f>
        <v>30240</v>
      </c>
    </row>
    <row r="30" spans="1:15">
      <c r="A30" t="s">
        <v>116</v>
      </c>
      <c r="B30" t="s">
        <v>117</v>
      </c>
      <c r="C30" t="s">
        <v>118</v>
      </c>
      <c r="D30" t="s">
        <v>113</v>
      </c>
      <c r="E30" t="s">
        <v>114</v>
      </c>
      <c r="F30" t="s">
        <v>115</v>
      </c>
      <c r="G30" s="1" t="s">
        <v>115</v>
      </c>
      <c r="H30">
        <v>2</v>
      </c>
      <c r="I30" s="2">
        <v>2100</v>
      </c>
      <c r="J30" t="s">
        <v>29</v>
      </c>
      <c r="K30" s="3">
        <f>tCategorias[[#This Row],[Valor R$]]*tCategorias[[#This Row],[Teto fator multiplicador]]</f>
        <v>4200</v>
      </c>
      <c r="L30" s="3">
        <f>tCategorias[[#This Row],[Valor R$]]*tCategorias[[#This Row],[Teto fator multiplicador]]*2</f>
        <v>8400</v>
      </c>
      <c r="M30" s="3">
        <f>tCategorias[[#This Row],[Valor R$]]*tCategorias[[#This Row],[Teto fator multiplicador]]*3</f>
        <v>12600</v>
      </c>
      <c r="N30" s="3">
        <f>tCategorias[[#This Row],[Valor R$]]*tCategorias[[#This Row],[Teto fator multiplicador]]*4</f>
        <v>16800</v>
      </c>
      <c r="O30" s="3">
        <f>(tCategorias[[#This Row],[Valor R$]]*0.8)*3+tCategorias[[#This Row],[Teto para 40h]]</f>
        <v>21840</v>
      </c>
    </row>
    <row r="31" spans="1:15">
      <c r="A31" t="s">
        <v>119</v>
      </c>
      <c r="B31" t="s">
        <v>120</v>
      </c>
      <c r="C31" t="s">
        <v>121</v>
      </c>
      <c r="D31" t="s">
        <v>122</v>
      </c>
      <c r="E31" t="s">
        <v>123</v>
      </c>
      <c r="F31" t="s">
        <v>124</v>
      </c>
      <c r="G31" s="1" t="s">
        <v>124</v>
      </c>
      <c r="H31">
        <v>3</v>
      </c>
      <c r="I31" s="2">
        <v>700</v>
      </c>
      <c r="J31" t="s">
        <v>29</v>
      </c>
      <c r="K31" s="3">
        <f>tCategorias[[#This Row],[Valor R$]]*tCategorias[[#This Row],[Teto fator multiplicador]]</f>
        <v>2100</v>
      </c>
      <c r="L31" s="3">
        <f>tCategorias[[#This Row],[Valor R$]]*tCategorias[[#This Row],[Teto fator multiplicador]]*2</f>
        <v>4200</v>
      </c>
      <c r="M31" s="3">
        <f>tCategorias[[#This Row],[Valor R$]]*tCategorias[[#This Row],[Teto fator multiplicador]]*3</f>
        <v>6300</v>
      </c>
      <c r="N31" s="3">
        <f>tCategorias[[#This Row],[Valor R$]]*tCategorias[[#This Row],[Teto fator multiplicador]]*4</f>
        <v>8400</v>
      </c>
      <c r="O31" s="3">
        <f>(tCategorias[[#This Row],[Valor R$]]*0.8)*3+tCategorias[[#This Row],[Teto para 40h]]</f>
        <v>10080</v>
      </c>
    </row>
    <row r="32" spans="1:15">
      <c r="A32" t="s">
        <v>125</v>
      </c>
      <c r="B32" t="s">
        <v>126</v>
      </c>
      <c r="C32" t="s">
        <v>127</v>
      </c>
      <c r="D32" t="s">
        <v>128</v>
      </c>
      <c r="E32" t="s">
        <v>129</v>
      </c>
      <c r="F32" t="s">
        <v>130</v>
      </c>
      <c r="G32" s="1" t="s">
        <v>130</v>
      </c>
      <c r="H32">
        <v>3</v>
      </c>
      <c r="I32" s="2">
        <v>300</v>
      </c>
      <c r="J32" t="s">
        <v>29</v>
      </c>
      <c r="K32" s="3">
        <f>tCategorias[[#This Row],[Valor R$]]*tCategorias[[#This Row],[Teto fator multiplicador]]</f>
        <v>900</v>
      </c>
      <c r="L32" s="3">
        <f>tCategorias[[#This Row],[Valor R$]]*tCategorias[[#This Row],[Teto fator multiplicador]]*2</f>
        <v>1800</v>
      </c>
      <c r="M32" s="3">
        <f>tCategorias[[#This Row],[Valor R$]]*tCategorias[[#This Row],[Teto fator multiplicador]]*3</f>
        <v>2700</v>
      </c>
      <c r="N32" s="3">
        <f>tCategorias[[#This Row],[Valor R$]]*tCategorias[[#This Row],[Teto fator multiplicador]]*4</f>
        <v>3600</v>
      </c>
      <c r="O32" s="3">
        <f>(tCategorias[[#This Row],[Valor R$]]*0.8)*3+tCategorias[[#This Row],[Teto para 40h]]</f>
        <v>4320</v>
      </c>
    </row>
    <row r="33" spans="1:15">
      <c r="A33" t="s">
        <v>131</v>
      </c>
      <c r="B33" t="s">
        <v>132</v>
      </c>
      <c r="C33" t="s">
        <v>133</v>
      </c>
      <c r="D33" t="s">
        <v>128</v>
      </c>
      <c r="E33" t="s">
        <v>129</v>
      </c>
      <c r="F33" t="s">
        <v>130</v>
      </c>
      <c r="G33" s="1" t="s">
        <v>130</v>
      </c>
      <c r="H33">
        <v>3</v>
      </c>
      <c r="I33" s="2">
        <v>300</v>
      </c>
      <c r="J33" t="s">
        <v>29</v>
      </c>
      <c r="K33" s="3">
        <f>tCategorias[[#This Row],[Valor R$]]*tCategorias[[#This Row],[Teto fator multiplicador]]</f>
        <v>900</v>
      </c>
      <c r="L33" s="3">
        <f>tCategorias[[#This Row],[Valor R$]]*tCategorias[[#This Row],[Teto fator multiplicador]]*2</f>
        <v>1800</v>
      </c>
      <c r="M33" s="3">
        <f>tCategorias[[#This Row],[Valor R$]]*tCategorias[[#This Row],[Teto fator multiplicador]]*3</f>
        <v>2700</v>
      </c>
      <c r="N33" s="3">
        <f>tCategorias[[#This Row],[Valor R$]]*tCategorias[[#This Row],[Teto fator multiplicador]]*4</f>
        <v>3600</v>
      </c>
      <c r="O33" s="3">
        <f>(tCategorias[[#This Row],[Valor R$]]*0.8)*3+tCategorias[[#This Row],[Teto para 40h]]</f>
        <v>4320</v>
      </c>
    </row>
    <row r="34" spans="1:15">
      <c r="A34" t="s">
        <v>134</v>
      </c>
      <c r="B34" t="s">
        <v>135</v>
      </c>
      <c r="C34" t="s">
        <v>8</v>
      </c>
      <c r="D34" t="s">
        <v>51</v>
      </c>
      <c r="E34" t="s">
        <v>52</v>
      </c>
      <c r="F34" t="s">
        <v>53</v>
      </c>
      <c r="G34" s="1">
        <v>2</v>
      </c>
      <c r="H34">
        <v>10</v>
      </c>
      <c r="I34" s="2">
        <v>300</v>
      </c>
      <c r="J34" t="s">
        <v>29</v>
      </c>
      <c r="K34" s="3">
        <f>tCategorias[[#This Row],[Valor R$]]*tCategorias[[#This Row],[Teto fator multiplicador]]</f>
        <v>3000</v>
      </c>
      <c r="L34" s="3">
        <f>tCategorias[[#This Row],[Valor R$]]*tCategorias[[#This Row],[Teto fator multiplicador]]*2</f>
        <v>6000</v>
      </c>
      <c r="M34" s="3">
        <f>tCategorias[[#This Row],[Valor R$]]*tCategorias[[#This Row],[Teto fator multiplicador]]*3</f>
        <v>9000</v>
      </c>
      <c r="N34" s="3">
        <f>tCategorias[[#This Row],[Valor R$]]*tCategorias[[#This Row],[Teto fator multiplicador]]*4</f>
        <v>12000</v>
      </c>
      <c r="O34" s="3">
        <f>(tCategorias[[#This Row],[Valor R$]]*0.8)*3+tCategorias[[#This Row],[Teto para 40h]]</f>
        <v>12720</v>
      </c>
    </row>
    <row r="35" spans="1:15">
      <c r="A35" t="s">
        <v>136</v>
      </c>
      <c r="B35" t="s">
        <v>137</v>
      </c>
      <c r="C35" t="s">
        <v>138</v>
      </c>
      <c r="D35" t="s">
        <v>139</v>
      </c>
      <c r="E35" t="s">
        <v>140</v>
      </c>
      <c r="F35" t="s">
        <v>141</v>
      </c>
      <c r="G35" s="1"/>
      <c r="H35">
        <v>5</v>
      </c>
      <c r="I35" s="2">
        <v>3100</v>
      </c>
      <c r="J35" t="s">
        <v>29</v>
      </c>
      <c r="K35" s="3">
        <f>tCategorias[[#This Row],[Valor R$]]*tCategorias[[#This Row],[Teto fator multiplicador]]</f>
        <v>15500</v>
      </c>
      <c r="L35" s="3">
        <f>tCategorias[[#This Row],[Valor R$]]*tCategorias[[#This Row],[Teto fator multiplicador]]*2</f>
        <v>31000</v>
      </c>
      <c r="M35" s="3">
        <f>tCategorias[[#This Row],[Valor R$]]*tCategorias[[#This Row],[Teto fator multiplicador]]*3</f>
        <v>46500</v>
      </c>
      <c r="N35" s="3">
        <f>tCategorias[[#This Row],[Valor R$]]*tCategorias[[#This Row],[Teto fator multiplicador]]*4</f>
        <v>62000</v>
      </c>
      <c r="O35" s="3">
        <f>(tCategorias[[#This Row],[Valor R$]]*0.8)*3+tCategorias[[#This Row],[Teto para 40h]]</f>
        <v>69440</v>
      </c>
    </row>
    <row r="36" spans="1:15">
      <c r="A36" t="s">
        <v>142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s="1" t="s">
        <v>148</v>
      </c>
      <c r="H36">
        <v>1.5</v>
      </c>
      <c r="I36" s="2">
        <v>14000</v>
      </c>
      <c r="J36" t="s">
        <v>149</v>
      </c>
      <c r="K36" s="3">
        <f>tCategorias[[#This Row],[Valor R$]]*tCategorias[[#This Row],[Teto fator multiplicador]]</f>
        <v>21000</v>
      </c>
      <c r="L36" s="3"/>
      <c r="M36" s="3"/>
      <c r="N36" s="3"/>
      <c r="O36" s="3"/>
    </row>
    <row r="37" spans="1:15">
      <c r="A37" t="s">
        <v>150</v>
      </c>
      <c r="B37" t="s">
        <v>151</v>
      </c>
      <c r="C37" t="s">
        <v>152</v>
      </c>
      <c r="D37" t="s">
        <v>153</v>
      </c>
      <c r="E37" t="s">
        <v>154</v>
      </c>
      <c r="F37" t="s">
        <v>155</v>
      </c>
      <c r="G37" s="1" t="s">
        <v>156</v>
      </c>
      <c r="H37">
        <v>1.5</v>
      </c>
      <c r="I37" s="2">
        <v>7000</v>
      </c>
      <c r="J37" t="s">
        <v>149</v>
      </c>
      <c r="K37" s="3">
        <f>tCategorias[[#This Row],[Valor R$]]*tCategorias[[#This Row],[Teto fator multiplicador]]</f>
        <v>10500</v>
      </c>
      <c r="L37" s="3"/>
      <c r="M37" s="3"/>
      <c r="N37" s="3"/>
      <c r="O37" s="3"/>
    </row>
    <row r="38" spans="1:15">
      <c r="A38" t="s">
        <v>157</v>
      </c>
      <c r="B38" t="s">
        <v>158</v>
      </c>
      <c r="C38" t="s">
        <v>159</v>
      </c>
      <c r="D38" t="s">
        <v>160</v>
      </c>
      <c r="E38" t="s">
        <v>161</v>
      </c>
      <c r="F38" t="s">
        <v>147</v>
      </c>
      <c r="G38" s="1">
        <v>1</v>
      </c>
      <c r="H38">
        <v>1.5</v>
      </c>
      <c r="I38" s="2">
        <v>14000</v>
      </c>
      <c r="J38" t="s">
        <v>149</v>
      </c>
      <c r="K38" s="3">
        <f>tCategorias[[#This Row],[Valor R$]]*tCategorias[[#This Row],[Teto fator multiplicador]]</f>
        <v>21000</v>
      </c>
      <c r="L38" s="3"/>
      <c r="M38" s="3"/>
      <c r="N38" s="3"/>
      <c r="O38" s="3"/>
    </row>
    <row r="39" spans="1:15">
      <c r="A39" t="s">
        <v>162</v>
      </c>
      <c r="B39" t="s">
        <v>163</v>
      </c>
      <c r="C39" t="s">
        <v>164</v>
      </c>
      <c r="D39" t="s">
        <v>165</v>
      </c>
      <c r="E39" t="s">
        <v>166</v>
      </c>
      <c r="F39" t="s">
        <v>167</v>
      </c>
      <c r="G39" s="1" t="s">
        <v>168</v>
      </c>
      <c r="H39">
        <v>6</v>
      </c>
      <c r="I39" s="2">
        <v>770</v>
      </c>
      <c r="J39" t="s">
        <v>149</v>
      </c>
      <c r="K39" s="3">
        <f>tCategorias[[#This Row],[Valor R$]]*tCategorias[[#This Row],[Teto fator multiplicador]]</f>
        <v>4620</v>
      </c>
      <c r="L39" s="3"/>
      <c r="M39" s="3"/>
      <c r="N39" s="3"/>
      <c r="O39" s="3"/>
    </row>
    <row r="40" spans="1:15">
      <c r="A40" t="s">
        <v>169</v>
      </c>
      <c r="B40" t="s">
        <v>170</v>
      </c>
      <c r="C40" t="s">
        <v>171</v>
      </c>
      <c r="D40" t="s">
        <v>165</v>
      </c>
      <c r="E40" t="s">
        <v>166</v>
      </c>
      <c r="F40" t="s">
        <v>167</v>
      </c>
      <c r="G40" s="1" t="s">
        <v>172</v>
      </c>
      <c r="H40">
        <v>6</v>
      </c>
      <c r="I40" s="2">
        <v>560</v>
      </c>
      <c r="J40" t="s">
        <v>149</v>
      </c>
      <c r="K40" s="3">
        <f>tCategorias[[#This Row],[Valor R$]]*tCategorias[[#This Row],[Teto fator multiplicador]]</f>
        <v>3360</v>
      </c>
      <c r="L40" s="3"/>
      <c r="M40" s="3"/>
      <c r="N40" s="3"/>
      <c r="O40" s="3"/>
    </row>
    <row r="41" spans="1:15">
      <c r="A41" t="s">
        <v>173</v>
      </c>
      <c r="B41" t="s">
        <v>174</v>
      </c>
      <c r="C41" t="s">
        <v>175</v>
      </c>
      <c r="D41" t="s">
        <v>165</v>
      </c>
      <c r="E41" t="s">
        <v>166</v>
      </c>
      <c r="F41" t="s">
        <v>167</v>
      </c>
      <c r="G41" s="1" t="s">
        <v>172</v>
      </c>
      <c r="H41">
        <v>4</v>
      </c>
      <c r="I41" s="2">
        <v>560</v>
      </c>
      <c r="J41" t="s">
        <v>149</v>
      </c>
      <c r="K41" s="3">
        <f>tCategorias[[#This Row],[Valor R$]]*tCategorias[[#This Row],[Teto fator multiplicador]]</f>
        <v>2240</v>
      </c>
      <c r="L41" s="3"/>
      <c r="M41" s="3"/>
      <c r="N41" s="3"/>
      <c r="O41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B2F8B-B1BA-46C2-8829-3DBB78030F14}">
  <dimension ref="A1:C41"/>
  <sheetViews>
    <sheetView workbookViewId="0">
      <selection activeCell="D1" sqref="D1"/>
    </sheetView>
  </sheetViews>
  <sheetFormatPr defaultRowHeight="15"/>
  <cols>
    <col min="1" max="1" width="66.28515625" bestFit="1" customWidth="1"/>
    <col min="2" max="2" width="74.7109375" bestFit="1" customWidth="1"/>
    <col min="3" max="3" width="15.7109375" bestFit="1" customWidth="1"/>
  </cols>
  <sheetData>
    <row r="1" spans="1:3">
      <c r="A1" t="s">
        <v>364</v>
      </c>
      <c r="B1" t="s">
        <v>365</v>
      </c>
      <c r="C1" t="s">
        <v>366</v>
      </c>
    </row>
    <row r="2" spans="1:3">
      <c r="A2" t="s">
        <v>22</v>
      </c>
      <c r="B2" t="s">
        <v>24</v>
      </c>
      <c r="C2">
        <v>1500</v>
      </c>
    </row>
    <row r="3" spans="1:3">
      <c r="A3" t="s">
        <v>30</v>
      </c>
      <c r="B3" t="s">
        <v>32</v>
      </c>
      <c r="C3">
        <v>1400</v>
      </c>
    </row>
    <row r="4" spans="1:3">
      <c r="A4" t="s">
        <v>34</v>
      </c>
      <c r="B4" t="s">
        <v>36</v>
      </c>
      <c r="C4">
        <v>1300</v>
      </c>
    </row>
    <row r="5" spans="1:3">
      <c r="A5" t="s">
        <v>38</v>
      </c>
      <c r="B5" t="s">
        <v>40</v>
      </c>
      <c r="C5">
        <v>1200</v>
      </c>
    </row>
    <row r="6" spans="1:3">
      <c r="A6" t="s">
        <v>42</v>
      </c>
      <c r="B6" t="s">
        <v>44</v>
      </c>
      <c r="C6">
        <v>1100</v>
      </c>
    </row>
    <row r="7" spans="1:3">
      <c r="A7" t="s">
        <v>45</v>
      </c>
      <c r="B7" t="s">
        <v>47</v>
      </c>
      <c r="C7">
        <v>1100</v>
      </c>
    </row>
    <row r="8" spans="1:3">
      <c r="A8" t="s">
        <v>48</v>
      </c>
      <c r="B8" t="s">
        <v>50</v>
      </c>
      <c r="C8">
        <v>1500</v>
      </c>
    </row>
    <row r="9" spans="1:3">
      <c r="A9" t="s">
        <v>54</v>
      </c>
      <c r="B9" t="s">
        <v>56</v>
      </c>
      <c r="C9">
        <v>1400</v>
      </c>
    </row>
    <row r="10" spans="1:3">
      <c r="A10" t="s">
        <v>57</v>
      </c>
      <c r="B10" t="s">
        <v>59</v>
      </c>
      <c r="C10">
        <v>1400</v>
      </c>
    </row>
    <row r="11" spans="1:3">
      <c r="A11" t="s">
        <v>60</v>
      </c>
      <c r="B11" t="s">
        <v>62</v>
      </c>
      <c r="C11">
        <v>1300</v>
      </c>
    </row>
    <row r="12" spans="1:3">
      <c r="A12" t="s">
        <v>63</v>
      </c>
      <c r="B12" t="s">
        <v>65</v>
      </c>
      <c r="C12">
        <v>1300</v>
      </c>
    </row>
    <row r="13" spans="1:3">
      <c r="A13" t="s">
        <v>66</v>
      </c>
      <c r="B13" t="s">
        <v>68</v>
      </c>
      <c r="C13">
        <v>1300</v>
      </c>
    </row>
    <row r="14" spans="1:3">
      <c r="A14" t="s">
        <v>69</v>
      </c>
      <c r="B14" t="s">
        <v>71</v>
      </c>
      <c r="C14">
        <v>1500</v>
      </c>
    </row>
    <row r="15" spans="1:3">
      <c r="A15" t="s">
        <v>72</v>
      </c>
      <c r="B15" t="s">
        <v>74</v>
      </c>
      <c r="C15">
        <v>1400</v>
      </c>
    </row>
    <row r="16" spans="1:3">
      <c r="A16" t="s">
        <v>75</v>
      </c>
      <c r="B16" t="s">
        <v>77</v>
      </c>
      <c r="C16">
        <v>1300</v>
      </c>
    </row>
    <row r="17" spans="1:3">
      <c r="A17" t="s">
        <v>78</v>
      </c>
      <c r="B17" t="s">
        <v>80</v>
      </c>
      <c r="C17">
        <v>1200</v>
      </c>
    </row>
    <row r="18" spans="1:3">
      <c r="A18" t="s">
        <v>81</v>
      </c>
      <c r="B18" t="s">
        <v>6</v>
      </c>
      <c r="C18">
        <v>1500</v>
      </c>
    </row>
    <row r="19" spans="1:3">
      <c r="A19" t="s">
        <v>83</v>
      </c>
      <c r="B19" t="s">
        <v>85</v>
      </c>
      <c r="C19">
        <v>1400</v>
      </c>
    </row>
    <row r="20" spans="1:3">
      <c r="A20" t="s">
        <v>86</v>
      </c>
      <c r="B20" t="s">
        <v>88</v>
      </c>
      <c r="C20">
        <v>1300</v>
      </c>
    </row>
    <row r="21" spans="1:3">
      <c r="A21" t="s">
        <v>89</v>
      </c>
      <c r="B21" t="s">
        <v>91</v>
      </c>
      <c r="C21">
        <v>1200</v>
      </c>
    </row>
    <row r="22" spans="1:3">
      <c r="A22" t="s">
        <v>92</v>
      </c>
      <c r="B22" t="s">
        <v>2</v>
      </c>
      <c r="C22">
        <v>1500</v>
      </c>
    </row>
    <row r="23" spans="1:3">
      <c r="A23" t="s">
        <v>94</v>
      </c>
      <c r="B23" t="s">
        <v>5</v>
      </c>
      <c r="C23">
        <v>1400</v>
      </c>
    </row>
    <row r="24" spans="1:3">
      <c r="A24" t="s">
        <v>96</v>
      </c>
      <c r="B24" t="s">
        <v>1</v>
      </c>
      <c r="C24">
        <v>1300</v>
      </c>
    </row>
    <row r="25" spans="1:3">
      <c r="A25" t="s">
        <v>98</v>
      </c>
      <c r="B25" t="s">
        <v>7</v>
      </c>
      <c r="C25">
        <v>1200</v>
      </c>
    </row>
    <row r="26" spans="1:3">
      <c r="A26" t="s">
        <v>100</v>
      </c>
      <c r="B26" t="s">
        <v>3</v>
      </c>
      <c r="C26">
        <v>1300</v>
      </c>
    </row>
    <row r="27" spans="1:3">
      <c r="A27" t="s">
        <v>102</v>
      </c>
      <c r="B27" t="s">
        <v>4</v>
      </c>
      <c r="C27">
        <v>1300</v>
      </c>
    </row>
    <row r="28" spans="1:3">
      <c r="A28" t="s">
        <v>104</v>
      </c>
      <c r="B28" t="s">
        <v>106</v>
      </c>
      <c r="C28">
        <v>3100</v>
      </c>
    </row>
    <row r="29" spans="1:3">
      <c r="A29" t="s">
        <v>110</v>
      </c>
      <c r="B29" t="s">
        <v>112</v>
      </c>
      <c r="C29">
        <v>2100</v>
      </c>
    </row>
    <row r="30" spans="1:3">
      <c r="A30" t="s">
        <v>116</v>
      </c>
      <c r="B30" t="s">
        <v>118</v>
      </c>
      <c r="C30">
        <v>2100</v>
      </c>
    </row>
    <row r="31" spans="1:3">
      <c r="A31" t="s">
        <v>119</v>
      </c>
      <c r="B31" t="s">
        <v>121</v>
      </c>
      <c r="C31">
        <v>700</v>
      </c>
    </row>
    <row r="32" spans="1:3">
      <c r="A32" t="s">
        <v>125</v>
      </c>
      <c r="B32" t="s">
        <v>127</v>
      </c>
      <c r="C32">
        <v>300</v>
      </c>
    </row>
    <row r="33" spans="1:3">
      <c r="A33" t="s">
        <v>131</v>
      </c>
      <c r="B33" t="s">
        <v>133</v>
      </c>
      <c r="C33">
        <v>300</v>
      </c>
    </row>
    <row r="34" spans="1:3">
      <c r="A34" t="s">
        <v>134</v>
      </c>
      <c r="B34" t="s">
        <v>8</v>
      </c>
      <c r="C34">
        <v>300</v>
      </c>
    </row>
    <row r="35" spans="1:3">
      <c r="A35" t="s">
        <v>136</v>
      </c>
      <c r="B35" t="s">
        <v>138</v>
      </c>
      <c r="C35">
        <v>3100</v>
      </c>
    </row>
    <row r="36" spans="1:3">
      <c r="A36" t="s">
        <v>142</v>
      </c>
      <c r="B36" t="s">
        <v>144</v>
      </c>
      <c r="C36">
        <v>14000</v>
      </c>
    </row>
    <row r="37" spans="1:3">
      <c r="A37" t="s">
        <v>150</v>
      </c>
      <c r="B37" t="s">
        <v>152</v>
      </c>
      <c r="C37">
        <v>7000</v>
      </c>
    </row>
    <row r="38" spans="1:3">
      <c r="A38" t="s">
        <v>157</v>
      </c>
      <c r="B38" t="s">
        <v>159</v>
      </c>
      <c r="C38">
        <v>14000</v>
      </c>
    </row>
    <row r="39" spans="1:3">
      <c r="A39" t="s">
        <v>162</v>
      </c>
      <c r="B39" t="s">
        <v>164</v>
      </c>
      <c r="C39">
        <v>770</v>
      </c>
    </row>
    <row r="40" spans="1:3">
      <c r="A40" t="s">
        <v>169</v>
      </c>
      <c r="B40" t="s">
        <v>171</v>
      </c>
      <c r="C40">
        <v>560</v>
      </c>
    </row>
    <row r="41" spans="1:3">
      <c r="A41" t="s">
        <v>173</v>
      </c>
      <c r="B41" t="s">
        <v>175</v>
      </c>
      <c r="C41">
        <v>560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2C4B-FFF2-41AF-9776-1DD9E5E0EC98}">
  <sheetPr codeName="Planilha7">
    <outlinePr summaryBelow="0" summaryRight="0"/>
  </sheetPr>
  <dimension ref="A1:Y998"/>
  <sheetViews>
    <sheetView workbookViewId="0">
      <selection activeCell="C84" sqref="C2:C84"/>
    </sheetView>
  </sheetViews>
  <sheetFormatPr defaultColWidth="9.140625" defaultRowHeight="15" customHeight="1"/>
  <cols>
    <col min="1" max="3" width="78.7109375" style="4" customWidth="1"/>
    <col min="4" max="4" width="3" style="4" customWidth="1"/>
    <col min="5" max="25" width="9.140625" style="5"/>
    <col min="26" max="16384" width="9.140625" style="4"/>
  </cols>
  <sheetData>
    <row r="1" spans="1:4">
      <c r="A1" s="6" t="s">
        <v>363</v>
      </c>
      <c r="B1" s="6" t="s">
        <v>176</v>
      </c>
      <c r="C1" s="6" t="s">
        <v>177</v>
      </c>
      <c r="D1" s="7"/>
    </row>
    <row r="2" spans="1:4">
      <c r="A2" s="9" t="s">
        <v>193</v>
      </c>
      <c r="B2" s="8" t="s">
        <v>229</v>
      </c>
      <c r="C2" s="8" t="s">
        <v>230</v>
      </c>
      <c r="D2" s="7"/>
    </row>
    <row r="3" spans="1:4">
      <c r="A3" s="9" t="s">
        <v>194</v>
      </c>
      <c r="B3" s="8" t="s">
        <v>231</v>
      </c>
      <c r="C3" s="8" t="s">
        <v>232</v>
      </c>
      <c r="D3" s="7"/>
    </row>
    <row r="4" spans="1:4">
      <c r="A4" s="9" t="s">
        <v>195</v>
      </c>
      <c r="B4" s="8" t="s">
        <v>233</v>
      </c>
      <c r="C4" s="8" t="s">
        <v>234</v>
      </c>
      <c r="D4" s="7"/>
    </row>
    <row r="5" spans="1:4">
      <c r="A5" s="8" t="s">
        <v>196</v>
      </c>
      <c r="B5" s="8" t="s">
        <v>235</v>
      </c>
      <c r="C5" s="8" t="s">
        <v>236</v>
      </c>
      <c r="D5" s="7"/>
    </row>
    <row r="6" spans="1:4">
      <c r="A6" s="8" t="s">
        <v>197</v>
      </c>
      <c r="B6" s="8" t="s">
        <v>237</v>
      </c>
      <c r="C6" s="8" t="s">
        <v>238</v>
      </c>
      <c r="D6" s="7"/>
    </row>
    <row r="7" spans="1:4">
      <c r="A7" s="8" t="s">
        <v>198</v>
      </c>
      <c r="B7" s="8" t="s">
        <v>239</v>
      </c>
      <c r="C7" s="8" t="s">
        <v>240</v>
      </c>
      <c r="D7" s="7"/>
    </row>
    <row r="8" spans="1:4">
      <c r="A8" s="8" t="s">
        <v>199</v>
      </c>
      <c r="B8" s="8" t="s">
        <v>241</v>
      </c>
      <c r="C8" s="8" t="s">
        <v>242</v>
      </c>
      <c r="D8" s="7"/>
    </row>
    <row r="9" spans="1:4">
      <c r="A9" s="8" t="s">
        <v>200</v>
      </c>
      <c r="B9" s="8" t="s">
        <v>243</v>
      </c>
      <c r="C9" s="8" t="s">
        <v>244</v>
      </c>
      <c r="D9" s="7"/>
    </row>
    <row r="10" spans="1:4">
      <c r="A10" s="8" t="s">
        <v>201</v>
      </c>
      <c r="B10" s="8" t="s">
        <v>245</v>
      </c>
      <c r="C10" s="8" t="s">
        <v>246</v>
      </c>
      <c r="D10" s="7"/>
    </row>
    <row r="11" spans="1:4">
      <c r="A11" s="8" t="s">
        <v>202</v>
      </c>
      <c r="B11" s="8" t="s">
        <v>247</v>
      </c>
      <c r="C11" s="8" t="s">
        <v>248</v>
      </c>
      <c r="D11" s="7"/>
    </row>
    <row r="12" spans="1:4">
      <c r="A12" s="8" t="s">
        <v>203</v>
      </c>
      <c r="B12" s="8" t="s">
        <v>249</v>
      </c>
      <c r="C12" s="8" t="s">
        <v>250</v>
      </c>
      <c r="D12" s="7"/>
    </row>
    <row r="13" spans="1:4">
      <c r="A13" s="8" t="s">
        <v>204</v>
      </c>
      <c r="B13" s="8" t="s">
        <v>251</v>
      </c>
      <c r="C13" s="8" t="s">
        <v>252</v>
      </c>
      <c r="D13" s="7"/>
    </row>
    <row r="14" spans="1:4">
      <c r="A14" s="8" t="s">
        <v>205</v>
      </c>
      <c r="B14" s="8" t="s">
        <v>253</v>
      </c>
      <c r="C14" s="8" t="s">
        <v>254</v>
      </c>
      <c r="D14" s="7"/>
    </row>
    <row r="15" spans="1:4">
      <c r="A15" s="8" t="s">
        <v>206</v>
      </c>
      <c r="B15" s="8" t="s">
        <v>255</v>
      </c>
      <c r="C15" s="8" t="s">
        <v>256</v>
      </c>
      <c r="D15" s="7"/>
    </row>
    <row r="16" spans="1:4">
      <c r="A16" s="8" t="s">
        <v>207</v>
      </c>
      <c r="B16" s="8" t="s">
        <v>257</v>
      </c>
      <c r="C16" s="8" t="s">
        <v>258</v>
      </c>
      <c r="D16" s="7"/>
    </row>
    <row r="17" spans="1:4">
      <c r="A17" s="8" t="s">
        <v>208</v>
      </c>
      <c r="B17" s="8" t="s">
        <v>259</v>
      </c>
      <c r="C17" s="8" t="s">
        <v>260</v>
      </c>
      <c r="D17" s="7"/>
    </row>
    <row r="18" spans="1:4">
      <c r="A18" s="8" t="s">
        <v>209</v>
      </c>
      <c r="B18" s="8" t="s">
        <v>261</v>
      </c>
      <c r="C18" s="8" t="s">
        <v>262</v>
      </c>
      <c r="D18" s="7"/>
    </row>
    <row r="19" spans="1:4">
      <c r="A19" s="8" t="s">
        <v>210</v>
      </c>
      <c r="B19" s="8" t="s">
        <v>263</v>
      </c>
      <c r="C19" s="8" t="s">
        <v>264</v>
      </c>
      <c r="D19" s="7"/>
    </row>
    <row r="20" spans="1:4">
      <c r="A20" s="8" t="s">
        <v>211</v>
      </c>
      <c r="B20" s="8" t="s">
        <v>265</v>
      </c>
      <c r="C20" s="8" t="s">
        <v>266</v>
      </c>
      <c r="D20" s="7"/>
    </row>
    <row r="21" spans="1:4">
      <c r="A21" s="8" t="s">
        <v>212</v>
      </c>
      <c r="B21" s="8" t="s">
        <v>267</v>
      </c>
      <c r="C21" s="8" t="s">
        <v>268</v>
      </c>
      <c r="D21" s="7"/>
    </row>
    <row r="22" spans="1:4">
      <c r="A22" s="8" t="s">
        <v>178</v>
      </c>
      <c r="B22" s="8" t="s">
        <v>269</v>
      </c>
      <c r="C22" s="8" t="s">
        <v>270</v>
      </c>
      <c r="D22" s="7"/>
    </row>
    <row r="23" spans="1:4">
      <c r="A23" s="8" t="s">
        <v>213</v>
      </c>
      <c r="B23" s="8" t="s">
        <v>271</v>
      </c>
      <c r="C23" s="8" t="s">
        <v>272</v>
      </c>
      <c r="D23" s="7"/>
    </row>
    <row r="24" spans="1:4">
      <c r="A24" s="8" t="s">
        <v>214</v>
      </c>
      <c r="B24" s="8" t="s">
        <v>273</v>
      </c>
      <c r="C24" s="8" t="s">
        <v>274</v>
      </c>
      <c r="D24" s="7"/>
    </row>
    <row r="25" spans="1:4">
      <c r="A25" s="8" t="s">
        <v>215</v>
      </c>
      <c r="B25" s="8" t="s">
        <v>275</v>
      </c>
      <c r="C25" s="8" t="s">
        <v>276</v>
      </c>
      <c r="D25" s="7"/>
    </row>
    <row r="26" spans="1:4">
      <c r="A26" s="8" t="s">
        <v>216</v>
      </c>
      <c r="B26" s="8" t="s">
        <v>277</v>
      </c>
      <c r="C26" s="8" t="s">
        <v>278</v>
      </c>
      <c r="D26" s="7"/>
    </row>
    <row r="27" spans="1:4">
      <c r="A27" s="8" t="s">
        <v>217</v>
      </c>
      <c r="B27" s="8" t="s">
        <v>279</v>
      </c>
      <c r="C27" s="8" t="s">
        <v>280</v>
      </c>
      <c r="D27" s="7"/>
    </row>
    <row r="28" spans="1:4">
      <c r="A28" s="8" t="s">
        <v>218</v>
      </c>
      <c r="B28" s="8" t="s">
        <v>281</v>
      </c>
      <c r="C28" s="8" t="s">
        <v>282</v>
      </c>
      <c r="D28" s="7"/>
    </row>
    <row r="29" spans="1:4">
      <c r="A29" s="8" t="s">
        <v>219</v>
      </c>
      <c r="B29" s="8" t="s">
        <v>283</v>
      </c>
      <c r="C29" s="8" t="s">
        <v>284</v>
      </c>
      <c r="D29" s="7"/>
    </row>
    <row r="30" spans="1:4">
      <c r="A30" s="8" t="s">
        <v>220</v>
      </c>
      <c r="B30" s="8" t="s">
        <v>285</v>
      </c>
      <c r="C30" s="8" t="s">
        <v>286</v>
      </c>
      <c r="D30" s="7"/>
    </row>
    <row r="31" spans="1:4">
      <c r="A31" s="8" t="s">
        <v>221</v>
      </c>
      <c r="B31" s="8" t="s">
        <v>287</v>
      </c>
      <c r="C31" s="8" t="s">
        <v>288</v>
      </c>
      <c r="D31" s="7"/>
    </row>
    <row r="32" spans="1:4">
      <c r="A32" s="8" t="s">
        <v>222</v>
      </c>
      <c r="B32" s="8" t="s">
        <v>289</v>
      </c>
      <c r="C32" s="8" t="s">
        <v>290</v>
      </c>
      <c r="D32" s="7"/>
    </row>
    <row r="33" spans="1:4">
      <c r="A33" s="8" t="s">
        <v>223</v>
      </c>
      <c r="B33" s="8" t="s">
        <v>291</v>
      </c>
      <c r="C33" s="8" t="s">
        <v>292</v>
      </c>
      <c r="D33" s="7"/>
    </row>
    <row r="34" spans="1:4">
      <c r="A34" s="8" t="s">
        <v>224</v>
      </c>
      <c r="B34" s="8" t="s">
        <v>293</v>
      </c>
      <c r="C34" s="8" t="s">
        <v>294</v>
      </c>
      <c r="D34" s="7"/>
    </row>
    <row r="35" spans="1:4">
      <c r="A35" s="8" t="s">
        <v>225</v>
      </c>
      <c r="B35" s="8" t="s">
        <v>295</v>
      </c>
      <c r="C35" s="8" t="s">
        <v>296</v>
      </c>
      <c r="D35" s="7"/>
    </row>
    <row r="36" spans="1:4">
      <c r="A36" s="8" t="s">
        <v>226</v>
      </c>
      <c r="B36" s="8" t="s">
        <v>297</v>
      </c>
      <c r="C36" s="8" t="s">
        <v>298</v>
      </c>
      <c r="D36" s="7"/>
    </row>
    <row r="37" spans="1:4">
      <c r="A37" s="8" t="s">
        <v>227</v>
      </c>
      <c r="B37" s="8" t="s">
        <v>299</v>
      </c>
      <c r="C37" s="8" t="s">
        <v>300</v>
      </c>
      <c r="D37" s="7"/>
    </row>
    <row r="38" spans="1:4">
      <c r="A38" s="8" t="s">
        <v>228</v>
      </c>
      <c r="B38" s="8" t="s">
        <v>301</v>
      </c>
      <c r="C38" s="8" t="s">
        <v>302</v>
      </c>
      <c r="D38" s="7"/>
    </row>
    <row r="39" spans="1:4">
      <c r="A39" s="8"/>
      <c r="B39" s="8" t="s">
        <v>303</v>
      </c>
      <c r="C39" s="8" t="s">
        <v>304</v>
      </c>
      <c r="D39" s="7"/>
    </row>
    <row r="40" spans="1:4">
      <c r="A40" s="8"/>
      <c r="B40" s="8" t="s">
        <v>305</v>
      </c>
      <c r="C40" s="8" t="s">
        <v>306</v>
      </c>
      <c r="D40" s="7"/>
    </row>
    <row r="41" spans="1:4">
      <c r="A41" s="8"/>
      <c r="B41" s="8" t="s">
        <v>307</v>
      </c>
      <c r="C41" s="8" t="s">
        <v>308</v>
      </c>
      <c r="D41" s="7"/>
    </row>
    <row r="42" spans="1:4">
      <c r="A42" s="8"/>
      <c r="B42" s="8" t="s">
        <v>309</v>
      </c>
      <c r="C42" s="8" t="s">
        <v>310</v>
      </c>
      <c r="D42" s="7"/>
    </row>
    <row r="43" spans="1:4">
      <c r="A43" s="8"/>
      <c r="B43" s="8" t="s">
        <v>311</v>
      </c>
      <c r="C43" s="8" t="s">
        <v>312</v>
      </c>
      <c r="D43" s="7"/>
    </row>
    <row r="44" spans="1:4">
      <c r="A44" s="8"/>
      <c r="B44" s="8" t="s">
        <v>313</v>
      </c>
      <c r="C44" s="8" t="s">
        <v>314</v>
      </c>
      <c r="D44" s="7"/>
    </row>
    <row r="45" spans="1:4">
      <c r="A45" s="8"/>
      <c r="B45" s="8" t="s">
        <v>315</v>
      </c>
      <c r="C45" s="8" t="s">
        <v>316</v>
      </c>
      <c r="D45" s="7"/>
    </row>
    <row r="46" spans="1:4">
      <c r="A46" s="8"/>
      <c r="B46" s="8" t="s">
        <v>317</v>
      </c>
      <c r="C46" s="8" t="s">
        <v>318</v>
      </c>
      <c r="D46" s="7"/>
    </row>
    <row r="47" spans="1:4">
      <c r="A47" s="8"/>
      <c r="B47" s="8" t="s">
        <v>319</v>
      </c>
      <c r="C47" s="8" t="s">
        <v>320</v>
      </c>
      <c r="D47" s="7"/>
    </row>
    <row r="48" spans="1:4">
      <c r="A48" s="8"/>
      <c r="B48" s="8" t="s">
        <v>321</v>
      </c>
      <c r="C48" s="8" t="s">
        <v>322</v>
      </c>
      <c r="D48" s="7"/>
    </row>
    <row r="49" spans="1:4">
      <c r="A49" s="8"/>
      <c r="B49" s="8" t="s">
        <v>323</v>
      </c>
      <c r="C49" s="8" t="s">
        <v>324</v>
      </c>
      <c r="D49" s="7"/>
    </row>
    <row r="50" spans="1:4">
      <c r="A50" s="8"/>
      <c r="B50" s="8" t="s">
        <v>325</v>
      </c>
      <c r="C50" s="8" t="s">
        <v>326</v>
      </c>
      <c r="D50" s="7"/>
    </row>
    <row r="51" spans="1:4">
      <c r="A51" s="8"/>
      <c r="B51" s="8"/>
      <c r="C51" s="8" t="s">
        <v>327</v>
      </c>
      <c r="D51" s="7"/>
    </row>
    <row r="52" spans="1:4">
      <c r="A52" s="8"/>
      <c r="B52" s="8"/>
      <c r="C52" s="8" t="s">
        <v>328</v>
      </c>
      <c r="D52" s="7"/>
    </row>
    <row r="53" spans="1:4">
      <c r="A53" s="8"/>
      <c r="B53" s="8"/>
      <c r="C53" s="8" t="s">
        <v>329</v>
      </c>
      <c r="D53" s="7"/>
    </row>
    <row r="54" spans="1:4">
      <c r="A54" s="8"/>
      <c r="B54" s="8"/>
      <c r="C54" s="8" t="s">
        <v>330</v>
      </c>
      <c r="D54" s="7"/>
    </row>
    <row r="55" spans="1:4">
      <c r="A55" s="8"/>
      <c r="B55" s="8"/>
      <c r="C55" s="8" t="s">
        <v>331</v>
      </c>
      <c r="D55" s="7"/>
    </row>
    <row r="56" spans="1:4">
      <c r="A56" s="8"/>
      <c r="B56" s="8"/>
      <c r="C56" s="8" t="s">
        <v>332</v>
      </c>
      <c r="D56" s="7"/>
    </row>
    <row r="57" spans="1:4">
      <c r="A57" s="8"/>
      <c r="B57" s="8"/>
      <c r="C57" s="8" t="s">
        <v>333</v>
      </c>
      <c r="D57" s="7"/>
    </row>
    <row r="58" spans="1:4">
      <c r="A58" s="8"/>
      <c r="B58" s="8"/>
      <c r="C58" s="8" t="s">
        <v>334</v>
      </c>
      <c r="D58" s="7"/>
    </row>
    <row r="59" spans="1:4">
      <c r="A59" s="8"/>
      <c r="B59" s="8"/>
      <c r="C59" s="8" t="s">
        <v>335</v>
      </c>
      <c r="D59" s="7"/>
    </row>
    <row r="60" spans="1:4">
      <c r="A60" s="8"/>
      <c r="B60" s="8"/>
      <c r="C60" s="8" t="s">
        <v>336</v>
      </c>
      <c r="D60" s="7"/>
    </row>
    <row r="61" spans="1:4">
      <c r="A61" s="8"/>
      <c r="B61" s="8"/>
      <c r="C61" s="8" t="s">
        <v>337</v>
      </c>
      <c r="D61" s="7"/>
    </row>
    <row r="62" spans="1:4">
      <c r="A62" s="8"/>
      <c r="B62" s="8"/>
      <c r="C62" s="8" t="s">
        <v>338</v>
      </c>
      <c r="D62" s="7"/>
    </row>
    <row r="63" spans="1:4">
      <c r="A63" s="8"/>
      <c r="B63" s="8"/>
      <c r="C63" s="8" t="s">
        <v>339</v>
      </c>
      <c r="D63" s="7"/>
    </row>
    <row r="64" spans="1:4">
      <c r="A64" s="8"/>
      <c r="B64" s="8"/>
      <c r="C64" s="8" t="s">
        <v>340</v>
      </c>
      <c r="D64" s="7"/>
    </row>
    <row r="65" spans="1:4">
      <c r="A65" s="8"/>
      <c r="B65" s="8"/>
      <c r="C65" s="8" t="s">
        <v>341</v>
      </c>
      <c r="D65" s="7"/>
    </row>
    <row r="66" spans="1:4">
      <c r="A66" s="8"/>
      <c r="B66" s="8"/>
      <c r="C66" s="8" t="s">
        <v>342</v>
      </c>
      <c r="D66" s="7"/>
    </row>
    <row r="67" spans="1:4">
      <c r="A67" s="8"/>
      <c r="B67" s="8"/>
      <c r="C67" s="8" t="s">
        <v>343</v>
      </c>
      <c r="D67" s="7"/>
    </row>
    <row r="68" spans="1:4">
      <c r="A68" s="8"/>
      <c r="B68" s="8"/>
      <c r="C68" s="8" t="s">
        <v>344</v>
      </c>
      <c r="D68" s="7"/>
    </row>
    <row r="69" spans="1:4">
      <c r="A69" s="8"/>
      <c r="B69" s="8"/>
      <c r="C69" s="8" t="s">
        <v>345</v>
      </c>
      <c r="D69" s="7"/>
    </row>
    <row r="70" spans="1:4">
      <c r="A70" s="8"/>
      <c r="B70" s="8"/>
      <c r="C70" s="8" t="s">
        <v>346</v>
      </c>
      <c r="D70" s="7"/>
    </row>
    <row r="71" spans="1:4">
      <c r="A71" s="8"/>
      <c r="B71" s="8"/>
      <c r="C71" s="8" t="s">
        <v>347</v>
      </c>
      <c r="D71" s="7"/>
    </row>
    <row r="72" spans="1:4">
      <c r="A72" s="8"/>
      <c r="B72" s="8"/>
      <c r="C72" s="8" t="s">
        <v>348</v>
      </c>
      <c r="D72" s="7"/>
    </row>
    <row r="73" spans="1:4">
      <c r="A73" s="8"/>
      <c r="B73" s="8"/>
      <c r="C73" s="8" t="s">
        <v>349</v>
      </c>
      <c r="D73" s="7"/>
    </row>
    <row r="74" spans="1:4">
      <c r="A74" s="8"/>
      <c r="B74" s="8"/>
      <c r="C74" s="8" t="s">
        <v>350</v>
      </c>
      <c r="D74" s="7"/>
    </row>
    <row r="75" spans="1:4">
      <c r="A75" s="8"/>
      <c r="B75" s="8"/>
      <c r="C75" s="8" t="s">
        <v>351</v>
      </c>
      <c r="D75" s="7"/>
    </row>
    <row r="76" spans="1:4">
      <c r="A76" s="8"/>
      <c r="B76" s="8"/>
      <c r="C76" s="8" t="s">
        <v>352</v>
      </c>
      <c r="D76" s="7"/>
    </row>
    <row r="77" spans="1:4">
      <c r="A77" s="8"/>
      <c r="B77" s="8"/>
      <c r="C77" s="8" t="s">
        <v>353</v>
      </c>
      <c r="D77" s="7"/>
    </row>
    <row r="78" spans="1:4">
      <c r="A78" s="8"/>
      <c r="B78" s="8"/>
      <c r="C78" s="8" t="s">
        <v>354</v>
      </c>
      <c r="D78" s="7"/>
    </row>
    <row r="79" spans="1:4">
      <c r="A79" s="8"/>
      <c r="B79" s="8"/>
      <c r="C79" s="8" t="s">
        <v>355</v>
      </c>
      <c r="D79" s="7"/>
    </row>
    <row r="80" spans="1:4">
      <c r="A80" s="8"/>
      <c r="B80" s="8"/>
      <c r="C80" s="8" t="s">
        <v>356</v>
      </c>
      <c r="D80" s="7"/>
    </row>
    <row r="81" spans="1:4">
      <c r="A81" s="8"/>
      <c r="B81" s="8"/>
      <c r="C81" s="8" t="s">
        <v>357</v>
      </c>
      <c r="D81" s="7"/>
    </row>
    <row r="82" spans="1:4">
      <c r="A82" s="8"/>
      <c r="B82" s="8"/>
      <c r="C82" s="8" t="s">
        <v>358</v>
      </c>
      <c r="D82" s="7"/>
    </row>
    <row r="83" spans="1:4">
      <c r="A83" s="8"/>
      <c r="B83" s="8"/>
      <c r="C83" s="8" t="s">
        <v>359</v>
      </c>
      <c r="D83" s="7"/>
    </row>
    <row r="84" spans="1:4">
      <c r="A84" s="8"/>
      <c r="B84" s="8"/>
      <c r="C84" s="8" t="s">
        <v>360</v>
      </c>
      <c r="D84" s="7"/>
    </row>
    <row r="85" spans="1:4">
      <c r="A85" s="7"/>
      <c r="B85" s="7"/>
      <c r="C85" s="7"/>
      <c r="D85" s="7"/>
    </row>
    <row r="86" spans="1:4">
      <c r="A86" s="5"/>
      <c r="B86" s="5"/>
      <c r="C86" s="5"/>
      <c r="D86" s="5"/>
    </row>
    <row r="87" spans="1:4">
      <c r="A87" s="5"/>
      <c r="B87" s="5"/>
      <c r="C87" s="5"/>
      <c r="D87" s="5"/>
    </row>
    <row r="88" spans="1:4">
      <c r="A88" s="5"/>
      <c r="B88" s="5"/>
      <c r="C88" s="5"/>
      <c r="D88" s="5"/>
    </row>
    <row r="89" spans="1:4">
      <c r="A89" s="5"/>
      <c r="B89" s="5"/>
      <c r="C89" s="5"/>
      <c r="D89" s="5"/>
    </row>
    <row r="90" spans="1:4">
      <c r="A90" s="5"/>
      <c r="B90" s="5"/>
      <c r="C90" s="5"/>
      <c r="D90" s="5"/>
    </row>
    <row r="91" spans="1:4">
      <c r="A91" s="5"/>
      <c r="B91" s="5"/>
      <c r="C91" s="5"/>
      <c r="D91" s="5"/>
    </row>
    <row r="92" spans="1:4">
      <c r="A92" s="5"/>
      <c r="B92" s="5"/>
      <c r="C92" s="5"/>
      <c r="D92" s="5"/>
    </row>
    <row r="93" spans="1:4">
      <c r="A93" s="5"/>
      <c r="B93" s="5"/>
      <c r="C93" s="5"/>
      <c r="D93" s="5"/>
    </row>
    <row r="94" spans="1:4">
      <c r="A94" s="5"/>
      <c r="B94" s="5"/>
      <c r="C94" s="5"/>
      <c r="D94" s="5"/>
    </row>
    <row r="95" spans="1:4">
      <c r="A95" s="5"/>
      <c r="B95" s="5"/>
      <c r="C95" s="5"/>
      <c r="D95" s="5"/>
    </row>
    <row r="96" spans="1:4">
      <c r="A96" s="5"/>
      <c r="B96" s="5"/>
      <c r="C96" s="5"/>
      <c r="D96" s="5"/>
    </row>
    <row r="97" spans="1:4">
      <c r="A97" s="5"/>
      <c r="B97" s="5"/>
      <c r="C97" s="5"/>
      <c r="D97" s="5"/>
    </row>
    <row r="98" spans="1:4">
      <c r="A98" s="5"/>
      <c r="B98" s="5"/>
      <c r="C98" s="5"/>
      <c r="D98" s="5"/>
    </row>
    <row r="99" spans="1:4">
      <c r="A99" s="5"/>
      <c r="B99" s="5"/>
      <c r="C99" s="5"/>
      <c r="D99" s="5"/>
    </row>
    <row r="100" spans="1:4">
      <c r="A100" s="5"/>
      <c r="B100" s="5"/>
      <c r="C100" s="5"/>
      <c r="D100" s="5"/>
    </row>
    <row r="101" spans="1:4">
      <c r="A101" s="5"/>
      <c r="B101" s="5"/>
      <c r="C101" s="5"/>
      <c r="D101" s="5"/>
    </row>
    <row r="102" spans="1:4">
      <c r="A102" s="5"/>
      <c r="B102" s="5"/>
      <c r="C102" s="5"/>
      <c r="D102" s="5"/>
    </row>
    <row r="103" spans="1:4">
      <c r="A103" s="5"/>
      <c r="B103" s="5"/>
      <c r="C103" s="5"/>
      <c r="D103" s="5"/>
    </row>
    <row r="104" spans="1:4">
      <c r="A104" s="5"/>
      <c r="B104" s="5"/>
      <c r="C104" s="5"/>
      <c r="D104" s="5"/>
    </row>
    <row r="105" spans="1:4">
      <c r="A105" s="5"/>
      <c r="B105" s="5"/>
      <c r="C105" s="5"/>
      <c r="D105" s="5"/>
    </row>
    <row r="106" spans="1:4">
      <c r="A106" s="5"/>
      <c r="B106" s="5"/>
      <c r="C106" s="5"/>
      <c r="D106" s="5"/>
    </row>
    <row r="107" spans="1:4">
      <c r="A107" s="5"/>
      <c r="B107" s="5"/>
      <c r="C107" s="5"/>
      <c r="D107" s="5"/>
    </row>
    <row r="108" spans="1:4">
      <c r="A108" s="5"/>
      <c r="B108" s="5"/>
      <c r="C108" s="5"/>
      <c r="D108" s="5"/>
    </row>
    <row r="109" spans="1:4">
      <c r="A109" s="5"/>
      <c r="B109" s="5"/>
      <c r="C109" s="5"/>
      <c r="D109" s="5"/>
    </row>
    <row r="110" spans="1:4">
      <c r="A110" s="5"/>
      <c r="B110" s="5"/>
      <c r="C110" s="5"/>
      <c r="D110" s="5"/>
    </row>
    <row r="111" spans="1:4">
      <c r="A111" s="5"/>
      <c r="B111" s="5"/>
      <c r="C111" s="5"/>
      <c r="D111" s="5"/>
    </row>
    <row r="112" spans="1:4">
      <c r="A112" s="5"/>
      <c r="B112" s="5"/>
      <c r="C112" s="5"/>
      <c r="D112" s="5"/>
    </row>
    <row r="113" spans="1:4">
      <c r="A113" s="5"/>
      <c r="B113" s="5"/>
      <c r="C113" s="5"/>
      <c r="D113" s="5"/>
    </row>
    <row r="114" spans="1:4">
      <c r="A114" s="5"/>
      <c r="B114" s="5"/>
      <c r="C114" s="5"/>
      <c r="D114" s="5"/>
    </row>
    <row r="115" spans="1:4">
      <c r="A115" s="5"/>
      <c r="B115" s="5"/>
      <c r="C115" s="5"/>
      <c r="D115" s="5"/>
    </row>
    <row r="116" spans="1:4">
      <c r="A116" s="5"/>
      <c r="B116" s="5"/>
      <c r="C116" s="5"/>
      <c r="D116" s="5"/>
    </row>
    <row r="117" spans="1:4">
      <c r="A117" s="5"/>
      <c r="B117" s="5"/>
      <c r="C117" s="5"/>
      <c r="D117" s="5"/>
    </row>
    <row r="118" spans="1:4">
      <c r="A118" s="5"/>
      <c r="B118" s="5"/>
      <c r="C118" s="5"/>
      <c r="D118" s="5"/>
    </row>
    <row r="119" spans="1:4">
      <c r="A119" s="5"/>
      <c r="B119" s="5"/>
      <c r="C119" s="5"/>
      <c r="D119" s="5"/>
    </row>
    <row r="120" spans="1:4">
      <c r="A120" s="5"/>
      <c r="B120" s="5"/>
      <c r="C120" s="5"/>
      <c r="D120" s="5"/>
    </row>
    <row r="121" spans="1:4">
      <c r="A121" s="5"/>
      <c r="B121" s="5"/>
      <c r="C121" s="5"/>
      <c r="D121" s="5"/>
    </row>
    <row r="122" spans="1:4">
      <c r="A122" s="5"/>
      <c r="B122" s="5"/>
      <c r="C122" s="5"/>
      <c r="D122" s="5"/>
    </row>
    <row r="123" spans="1:4">
      <c r="A123" s="5"/>
      <c r="B123" s="5"/>
      <c r="C123" s="5"/>
      <c r="D123" s="5"/>
    </row>
    <row r="124" spans="1:4">
      <c r="A124" s="5"/>
      <c r="B124" s="5"/>
      <c r="C124" s="5"/>
      <c r="D124" s="5"/>
    </row>
    <row r="125" spans="1:4">
      <c r="A125" s="5"/>
      <c r="B125" s="5"/>
      <c r="C125" s="5"/>
      <c r="D125" s="5"/>
    </row>
    <row r="126" spans="1:4">
      <c r="A126" s="5"/>
      <c r="B126" s="5"/>
      <c r="C126" s="5"/>
      <c r="D126" s="5"/>
    </row>
    <row r="127" spans="1:4">
      <c r="A127" s="5"/>
      <c r="B127" s="5"/>
      <c r="C127" s="5"/>
      <c r="D127" s="5"/>
    </row>
    <row r="128" spans="1:4">
      <c r="A128" s="5"/>
      <c r="B128" s="5"/>
      <c r="C128" s="5"/>
      <c r="D128" s="5"/>
    </row>
    <row r="129" spans="1:4">
      <c r="A129" s="5"/>
      <c r="B129" s="5"/>
      <c r="C129" s="5"/>
      <c r="D129" s="5"/>
    </row>
    <row r="130" spans="1:4">
      <c r="A130" s="5"/>
      <c r="B130" s="5"/>
      <c r="C130" s="5"/>
      <c r="D130" s="5"/>
    </row>
    <row r="131" spans="1:4">
      <c r="A131" s="5"/>
      <c r="B131" s="5"/>
      <c r="C131" s="5"/>
      <c r="D131" s="5"/>
    </row>
    <row r="132" spans="1:4">
      <c r="A132" s="5"/>
      <c r="B132" s="5"/>
      <c r="C132" s="5"/>
      <c r="D132" s="5"/>
    </row>
    <row r="133" spans="1:4">
      <c r="A133" s="5"/>
      <c r="B133" s="5"/>
      <c r="C133" s="5"/>
      <c r="D133" s="5"/>
    </row>
    <row r="134" spans="1:4">
      <c r="A134" s="5"/>
      <c r="B134" s="5"/>
      <c r="C134" s="5"/>
      <c r="D134" s="5"/>
    </row>
    <row r="135" spans="1:4">
      <c r="A135" s="5"/>
      <c r="B135" s="5"/>
      <c r="C135" s="5"/>
      <c r="D135" s="5"/>
    </row>
    <row r="136" spans="1:4">
      <c r="A136" s="5"/>
      <c r="B136" s="5"/>
      <c r="C136" s="5"/>
      <c r="D136" s="5"/>
    </row>
    <row r="137" spans="1:4">
      <c r="A137" s="5"/>
      <c r="B137" s="5"/>
      <c r="C137" s="5"/>
      <c r="D137" s="5"/>
    </row>
    <row r="138" spans="1:4">
      <c r="A138" s="5"/>
      <c r="B138" s="5"/>
      <c r="C138" s="5"/>
      <c r="D138" s="5"/>
    </row>
    <row r="139" spans="1:4">
      <c r="A139" s="5"/>
      <c r="B139" s="5"/>
      <c r="C139" s="5"/>
      <c r="D139" s="5"/>
    </row>
    <row r="140" spans="1:4">
      <c r="A140" s="5"/>
      <c r="B140" s="5"/>
      <c r="C140" s="5"/>
      <c r="D140" s="5"/>
    </row>
    <row r="141" spans="1:4">
      <c r="A141" s="5"/>
      <c r="B141" s="5"/>
      <c r="C141" s="5"/>
      <c r="D141" s="5"/>
    </row>
    <row r="142" spans="1:4">
      <c r="A142" s="5"/>
      <c r="B142" s="5"/>
      <c r="C142" s="5"/>
      <c r="D142" s="5"/>
    </row>
    <row r="143" spans="1:4">
      <c r="A143" s="5"/>
      <c r="B143" s="5"/>
      <c r="C143" s="5"/>
      <c r="D143" s="5"/>
    </row>
    <row r="144" spans="1:4">
      <c r="A144" s="5"/>
      <c r="B144" s="5"/>
      <c r="C144" s="5"/>
      <c r="D144" s="5"/>
    </row>
    <row r="145" spans="1:4">
      <c r="A145" s="5"/>
      <c r="B145" s="5"/>
      <c r="C145" s="5"/>
      <c r="D145" s="5"/>
    </row>
    <row r="146" spans="1:4">
      <c r="A146" s="5"/>
      <c r="B146" s="5"/>
      <c r="C146" s="5"/>
      <c r="D146" s="5"/>
    </row>
    <row r="147" spans="1:4">
      <c r="A147" s="5"/>
      <c r="B147" s="5"/>
      <c r="C147" s="5"/>
      <c r="D147" s="5"/>
    </row>
    <row r="148" spans="1:4">
      <c r="A148" s="5"/>
      <c r="B148" s="5"/>
      <c r="C148" s="5"/>
      <c r="D148" s="5"/>
    </row>
    <row r="149" spans="1:4">
      <c r="A149" s="5"/>
      <c r="B149" s="5"/>
      <c r="C149" s="5"/>
      <c r="D149" s="5"/>
    </row>
    <row r="150" spans="1:4">
      <c r="A150" s="5"/>
      <c r="B150" s="5"/>
      <c r="C150" s="5"/>
      <c r="D150" s="5"/>
    </row>
    <row r="151" spans="1:4">
      <c r="A151" s="5"/>
      <c r="B151" s="5"/>
      <c r="C151" s="5"/>
      <c r="D151" s="5"/>
    </row>
    <row r="152" spans="1:4">
      <c r="A152" s="5"/>
      <c r="B152" s="5"/>
      <c r="C152" s="5"/>
      <c r="D152" s="5"/>
    </row>
    <row r="153" spans="1:4">
      <c r="A153" s="5"/>
      <c r="B153" s="5"/>
      <c r="C153" s="5"/>
      <c r="D153" s="5"/>
    </row>
    <row r="154" spans="1:4">
      <c r="A154" s="5"/>
      <c r="B154" s="5"/>
      <c r="C154" s="5"/>
      <c r="D154" s="5"/>
    </row>
    <row r="155" spans="1:4">
      <c r="A155" s="5"/>
      <c r="B155" s="5"/>
      <c r="C155" s="5"/>
      <c r="D155" s="5"/>
    </row>
    <row r="156" spans="1:4">
      <c r="A156" s="5"/>
      <c r="B156" s="5"/>
      <c r="C156" s="5"/>
      <c r="D156" s="5"/>
    </row>
    <row r="157" spans="1:4">
      <c r="A157" s="5"/>
      <c r="B157" s="5"/>
      <c r="C157" s="5"/>
      <c r="D157" s="5"/>
    </row>
    <row r="158" spans="1:4">
      <c r="A158" s="5"/>
      <c r="B158" s="5"/>
      <c r="C158" s="5"/>
      <c r="D158" s="5"/>
    </row>
    <row r="159" spans="1:4">
      <c r="A159" s="5"/>
      <c r="B159" s="5"/>
      <c r="C159" s="5"/>
      <c r="D159" s="5"/>
    </row>
    <row r="160" spans="1:4">
      <c r="A160" s="5"/>
      <c r="B160" s="5"/>
      <c r="C160" s="5"/>
      <c r="D160" s="5"/>
    </row>
    <row r="161" spans="1:4">
      <c r="A161" s="5"/>
      <c r="B161" s="5"/>
      <c r="C161" s="5"/>
      <c r="D161" s="5"/>
    </row>
    <row r="162" spans="1:4">
      <c r="A162" s="5"/>
      <c r="B162" s="5"/>
      <c r="C162" s="5"/>
      <c r="D162" s="5"/>
    </row>
    <row r="163" spans="1:4">
      <c r="A163" s="5"/>
      <c r="B163" s="5"/>
      <c r="C163" s="5"/>
      <c r="D163" s="5"/>
    </row>
    <row r="164" spans="1:4">
      <c r="A164" s="5"/>
      <c r="B164" s="5"/>
      <c r="C164" s="5"/>
      <c r="D164" s="5"/>
    </row>
    <row r="165" spans="1:4">
      <c r="A165" s="5"/>
      <c r="B165" s="5"/>
      <c r="C165" s="5"/>
      <c r="D165" s="5"/>
    </row>
    <row r="166" spans="1:4">
      <c r="A166" s="5"/>
      <c r="B166" s="5"/>
      <c r="C166" s="5"/>
      <c r="D166" s="5"/>
    </row>
    <row r="167" spans="1:4">
      <c r="A167" s="5"/>
      <c r="B167" s="5"/>
      <c r="C167" s="5"/>
      <c r="D167" s="5"/>
    </row>
    <row r="168" spans="1:4">
      <c r="A168" s="5"/>
      <c r="B168" s="5"/>
      <c r="C168" s="5"/>
      <c r="D168" s="5"/>
    </row>
    <row r="169" spans="1:4">
      <c r="A169" s="5"/>
      <c r="B169" s="5"/>
      <c r="C169" s="5"/>
      <c r="D169" s="5"/>
    </row>
    <row r="170" spans="1:4">
      <c r="A170" s="5"/>
      <c r="B170" s="5"/>
      <c r="C170" s="5"/>
      <c r="D170" s="5"/>
    </row>
    <row r="171" spans="1:4">
      <c r="A171" s="5"/>
      <c r="B171" s="5"/>
      <c r="C171" s="5"/>
      <c r="D171" s="5"/>
    </row>
    <row r="172" spans="1:4">
      <c r="A172" s="5"/>
      <c r="B172" s="5"/>
      <c r="C172" s="5"/>
      <c r="D172" s="5"/>
    </row>
    <row r="173" spans="1:4">
      <c r="A173" s="5"/>
      <c r="B173" s="5"/>
      <c r="C173" s="5"/>
      <c r="D173" s="5"/>
    </row>
    <row r="174" spans="1:4">
      <c r="A174" s="5"/>
      <c r="B174" s="5"/>
      <c r="C174" s="5"/>
      <c r="D174" s="5"/>
    </row>
    <row r="175" spans="1:4">
      <c r="A175" s="5"/>
      <c r="B175" s="5"/>
      <c r="C175" s="5"/>
      <c r="D175" s="5"/>
    </row>
    <row r="176" spans="1:4">
      <c r="A176" s="5"/>
      <c r="B176" s="5"/>
      <c r="C176" s="5"/>
      <c r="D176" s="5"/>
    </row>
    <row r="177" spans="1:4">
      <c r="A177" s="5"/>
      <c r="B177" s="5"/>
      <c r="C177" s="5"/>
      <c r="D177" s="5"/>
    </row>
    <row r="178" spans="1:4">
      <c r="A178" s="5"/>
      <c r="B178" s="5"/>
      <c r="C178" s="5"/>
      <c r="D178" s="5"/>
    </row>
    <row r="179" spans="1:4">
      <c r="A179" s="5"/>
      <c r="B179" s="5"/>
      <c r="C179" s="5"/>
      <c r="D179" s="5"/>
    </row>
    <row r="180" spans="1:4">
      <c r="A180" s="5"/>
      <c r="B180" s="5"/>
      <c r="C180" s="5"/>
      <c r="D180" s="5"/>
    </row>
    <row r="181" spans="1:4">
      <c r="A181" s="5"/>
      <c r="B181" s="5"/>
      <c r="C181" s="5"/>
      <c r="D181" s="5"/>
    </row>
    <row r="182" spans="1:4">
      <c r="A182" s="5"/>
      <c r="B182" s="5"/>
      <c r="C182" s="5"/>
      <c r="D182" s="5"/>
    </row>
    <row r="183" spans="1:4">
      <c r="A183" s="5"/>
      <c r="B183" s="5"/>
      <c r="C183" s="5"/>
      <c r="D183" s="5"/>
    </row>
    <row r="184" spans="1:4">
      <c r="A184" s="5"/>
      <c r="B184" s="5"/>
      <c r="C184" s="5"/>
      <c r="D184" s="5"/>
    </row>
    <row r="185" spans="1:4">
      <c r="A185" s="5"/>
      <c r="B185" s="5"/>
      <c r="C185" s="5"/>
      <c r="D185" s="5"/>
    </row>
    <row r="186" spans="1:4">
      <c r="A186" s="5"/>
      <c r="B186" s="5"/>
      <c r="C186" s="5"/>
      <c r="D186" s="5"/>
    </row>
    <row r="187" spans="1:4">
      <c r="A187" s="5"/>
      <c r="B187" s="5"/>
      <c r="C187" s="5"/>
      <c r="D187" s="5"/>
    </row>
    <row r="188" spans="1:4">
      <c r="A188" s="5"/>
      <c r="B188" s="5"/>
      <c r="C188" s="5"/>
      <c r="D188" s="5"/>
    </row>
    <row r="189" spans="1:4">
      <c r="A189" s="5"/>
      <c r="B189" s="5"/>
      <c r="C189" s="5"/>
      <c r="D189" s="5"/>
    </row>
    <row r="190" spans="1:4">
      <c r="A190" s="5"/>
      <c r="B190" s="5"/>
      <c r="C190" s="5"/>
      <c r="D190" s="5"/>
    </row>
    <row r="191" spans="1:4">
      <c r="A191" s="5"/>
      <c r="B191" s="5"/>
      <c r="C191" s="5"/>
      <c r="D191" s="5"/>
    </row>
    <row r="192" spans="1:4">
      <c r="A192" s="5"/>
      <c r="B192" s="5"/>
      <c r="C192" s="5"/>
      <c r="D192" s="5"/>
    </row>
    <row r="193" spans="1:4">
      <c r="A193" s="5"/>
      <c r="B193" s="5"/>
      <c r="C193" s="5"/>
      <c r="D193" s="5"/>
    </row>
    <row r="194" spans="1:4">
      <c r="A194" s="5"/>
      <c r="B194" s="5"/>
      <c r="C194" s="5"/>
      <c r="D194" s="5"/>
    </row>
    <row r="195" spans="1:4">
      <c r="A195" s="5"/>
      <c r="B195" s="5"/>
      <c r="C195" s="5"/>
      <c r="D195" s="5"/>
    </row>
    <row r="196" spans="1:4">
      <c r="A196" s="5"/>
      <c r="B196" s="5"/>
      <c r="C196" s="5"/>
      <c r="D196" s="5"/>
    </row>
    <row r="197" spans="1:4">
      <c r="A197" s="5"/>
      <c r="B197" s="5"/>
      <c r="C197" s="5"/>
      <c r="D197" s="5"/>
    </row>
    <row r="198" spans="1:4">
      <c r="A198" s="5"/>
      <c r="B198" s="5"/>
      <c r="C198" s="5"/>
      <c r="D198" s="5"/>
    </row>
    <row r="199" spans="1:4">
      <c r="A199" s="5"/>
      <c r="B199" s="5"/>
      <c r="C199" s="5"/>
      <c r="D199" s="5"/>
    </row>
    <row r="200" spans="1:4">
      <c r="A200" s="5"/>
      <c r="B200" s="5"/>
      <c r="C200" s="5"/>
      <c r="D200" s="5"/>
    </row>
    <row r="201" spans="1:4">
      <c r="A201" s="5"/>
      <c r="B201" s="5"/>
      <c r="C201" s="5"/>
      <c r="D201" s="5"/>
    </row>
    <row r="202" spans="1:4">
      <c r="A202" s="5"/>
      <c r="B202" s="5"/>
      <c r="C202" s="5"/>
      <c r="D202" s="5"/>
    </row>
    <row r="203" spans="1:4">
      <c r="A203" s="5"/>
      <c r="B203" s="5"/>
      <c r="C203" s="5"/>
      <c r="D203" s="5"/>
    </row>
    <row r="204" spans="1:4">
      <c r="A204" s="5"/>
      <c r="B204" s="5"/>
      <c r="C204" s="5"/>
      <c r="D204" s="5"/>
    </row>
    <row r="205" spans="1:4">
      <c r="A205" s="5"/>
      <c r="B205" s="5"/>
      <c r="C205" s="5"/>
      <c r="D205" s="5"/>
    </row>
    <row r="206" spans="1:4">
      <c r="A206" s="5"/>
      <c r="B206" s="5"/>
      <c r="C206" s="5"/>
      <c r="D206" s="5"/>
    </row>
    <row r="207" spans="1:4">
      <c r="A207" s="5"/>
      <c r="B207" s="5"/>
      <c r="C207" s="5"/>
      <c r="D207" s="5"/>
    </row>
    <row r="208" spans="1:4">
      <c r="A208" s="5"/>
      <c r="B208" s="5"/>
      <c r="C208" s="5"/>
      <c r="D208" s="5"/>
    </row>
    <row r="209" spans="1:4">
      <c r="A209" s="5"/>
      <c r="B209" s="5"/>
      <c r="C209" s="5"/>
      <c r="D209" s="5"/>
    </row>
    <row r="210" spans="1:4">
      <c r="A210" s="5"/>
      <c r="B210" s="5"/>
      <c r="C210" s="5"/>
      <c r="D210" s="5"/>
    </row>
    <row r="211" spans="1:4">
      <c r="A211" s="5"/>
      <c r="B211" s="5"/>
      <c r="C211" s="5"/>
      <c r="D211" s="5"/>
    </row>
    <row r="212" spans="1:4">
      <c r="A212" s="5"/>
      <c r="B212" s="5"/>
      <c r="C212" s="5"/>
      <c r="D212" s="5"/>
    </row>
    <row r="213" spans="1:4">
      <c r="A213" s="5"/>
      <c r="B213" s="5"/>
      <c r="C213" s="5"/>
      <c r="D213" s="5"/>
    </row>
    <row r="214" spans="1:4">
      <c r="A214" s="5"/>
      <c r="B214" s="5"/>
      <c r="C214" s="5"/>
      <c r="D214" s="5"/>
    </row>
    <row r="215" spans="1:4">
      <c r="A215" s="5"/>
      <c r="B215" s="5"/>
      <c r="C215" s="5"/>
      <c r="D215" s="5"/>
    </row>
    <row r="216" spans="1:4">
      <c r="A216" s="5"/>
      <c r="B216" s="5"/>
      <c r="C216" s="5"/>
      <c r="D216" s="5"/>
    </row>
    <row r="217" spans="1:4">
      <c r="A217" s="5"/>
      <c r="B217" s="5"/>
      <c r="C217" s="5"/>
      <c r="D217" s="5"/>
    </row>
    <row r="218" spans="1:4">
      <c r="A218" s="5"/>
      <c r="B218" s="5"/>
      <c r="C218" s="5"/>
      <c r="D218" s="5"/>
    </row>
    <row r="219" spans="1:4">
      <c r="A219" s="5"/>
      <c r="B219" s="5"/>
      <c r="C219" s="5"/>
      <c r="D219" s="5"/>
    </row>
    <row r="220" spans="1:4">
      <c r="A220" s="5"/>
      <c r="B220" s="5"/>
      <c r="C220" s="5"/>
      <c r="D220" s="5"/>
    </row>
    <row r="221" spans="1:4">
      <c r="A221" s="5"/>
      <c r="B221" s="5"/>
      <c r="C221" s="5"/>
      <c r="D221" s="5"/>
    </row>
    <row r="222" spans="1:4">
      <c r="A222" s="5"/>
      <c r="B222" s="5"/>
      <c r="C222" s="5"/>
      <c r="D222" s="5"/>
    </row>
    <row r="223" spans="1:4">
      <c r="A223" s="5"/>
      <c r="B223" s="5"/>
      <c r="C223" s="5"/>
      <c r="D223" s="5"/>
    </row>
    <row r="224" spans="1:4">
      <c r="A224" s="5"/>
      <c r="B224" s="5"/>
      <c r="C224" s="5"/>
      <c r="D224" s="5"/>
    </row>
    <row r="225" spans="1:4">
      <c r="A225" s="5"/>
      <c r="B225" s="5"/>
      <c r="C225" s="5"/>
      <c r="D225" s="5"/>
    </row>
    <row r="226" spans="1:4">
      <c r="A226" s="5"/>
      <c r="B226" s="5"/>
      <c r="C226" s="5"/>
      <c r="D226" s="5"/>
    </row>
    <row r="227" spans="1:4">
      <c r="A227" s="5"/>
      <c r="B227" s="5"/>
      <c r="C227" s="5"/>
      <c r="D227" s="5"/>
    </row>
    <row r="228" spans="1:4">
      <c r="A228" s="5"/>
      <c r="B228" s="5"/>
      <c r="C228" s="5"/>
      <c r="D228" s="5"/>
    </row>
    <row r="229" spans="1:4">
      <c r="A229" s="5"/>
      <c r="B229" s="5"/>
      <c r="C229" s="5"/>
      <c r="D229" s="5"/>
    </row>
    <row r="230" spans="1:4">
      <c r="A230" s="5"/>
      <c r="B230" s="5"/>
      <c r="C230" s="5"/>
      <c r="D230" s="5"/>
    </row>
    <row r="231" spans="1:4">
      <c r="A231" s="5"/>
      <c r="B231" s="5"/>
      <c r="C231" s="5"/>
      <c r="D231" s="5"/>
    </row>
    <row r="232" spans="1:4">
      <c r="A232" s="5"/>
      <c r="B232" s="5"/>
      <c r="C232" s="5"/>
      <c r="D232" s="5"/>
    </row>
    <row r="233" spans="1:4">
      <c r="A233" s="5"/>
      <c r="B233" s="5"/>
      <c r="C233" s="5"/>
      <c r="D233" s="5"/>
    </row>
    <row r="234" spans="1:4">
      <c r="A234" s="5"/>
      <c r="B234" s="5"/>
      <c r="C234" s="5"/>
      <c r="D234" s="5"/>
    </row>
    <row r="235" spans="1:4">
      <c r="A235" s="5"/>
      <c r="B235" s="5"/>
      <c r="C235" s="5"/>
      <c r="D235" s="5"/>
    </row>
    <row r="236" spans="1:4">
      <c r="A236" s="5"/>
      <c r="B236" s="5"/>
      <c r="C236" s="5"/>
      <c r="D236" s="5"/>
    </row>
    <row r="237" spans="1:4">
      <c r="A237" s="5"/>
      <c r="B237" s="5"/>
      <c r="C237" s="5"/>
      <c r="D237" s="5"/>
    </row>
    <row r="238" spans="1:4">
      <c r="A238" s="5"/>
      <c r="B238" s="5"/>
      <c r="C238" s="5"/>
      <c r="D238" s="5"/>
    </row>
    <row r="239" spans="1:4">
      <c r="A239" s="5"/>
      <c r="B239" s="5"/>
      <c r="C239" s="5"/>
      <c r="D239" s="5"/>
    </row>
    <row r="240" spans="1:4">
      <c r="A240" s="5"/>
      <c r="B240" s="5"/>
      <c r="C240" s="5"/>
      <c r="D240" s="5"/>
    </row>
    <row r="241" spans="1:4">
      <c r="A241" s="5"/>
      <c r="B241" s="5"/>
      <c r="C241" s="5"/>
      <c r="D241" s="5"/>
    </row>
    <row r="242" spans="1:4">
      <c r="A242" s="5"/>
      <c r="B242" s="5"/>
      <c r="C242" s="5"/>
      <c r="D242" s="5"/>
    </row>
    <row r="243" spans="1:4">
      <c r="A243" s="5"/>
      <c r="B243" s="5"/>
      <c r="C243" s="5"/>
      <c r="D243" s="5"/>
    </row>
    <row r="244" spans="1:4">
      <c r="A244" s="5"/>
      <c r="B244" s="5"/>
      <c r="C244" s="5"/>
      <c r="D244" s="5"/>
    </row>
    <row r="245" spans="1:4">
      <c r="A245" s="5"/>
      <c r="B245" s="5"/>
      <c r="C245" s="5"/>
      <c r="D245" s="5"/>
    </row>
    <row r="246" spans="1:4">
      <c r="A246" s="5"/>
      <c r="B246" s="5"/>
      <c r="C246" s="5"/>
      <c r="D246" s="5"/>
    </row>
    <row r="247" spans="1:4">
      <c r="A247" s="5"/>
      <c r="B247" s="5"/>
      <c r="C247" s="5"/>
      <c r="D247" s="5"/>
    </row>
    <row r="248" spans="1:4">
      <c r="A248" s="5"/>
      <c r="B248" s="5"/>
      <c r="C248" s="5"/>
      <c r="D248" s="5"/>
    </row>
    <row r="249" spans="1:4">
      <c r="A249" s="5"/>
      <c r="B249" s="5"/>
      <c r="C249" s="5"/>
      <c r="D249" s="5"/>
    </row>
    <row r="250" spans="1:4">
      <c r="A250" s="5"/>
      <c r="B250" s="5"/>
      <c r="C250" s="5"/>
      <c r="D250" s="5"/>
    </row>
    <row r="251" spans="1:4">
      <c r="A251" s="5"/>
      <c r="B251" s="5"/>
      <c r="C251" s="5"/>
      <c r="D251" s="5"/>
    </row>
    <row r="252" spans="1:4">
      <c r="A252" s="5"/>
      <c r="B252" s="5"/>
      <c r="C252" s="5"/>
      <c r="D252" s="5"/>
    </row>
    <row r="253" spans="1:4">
      <c r="A253" s="5"/>
      <c r="B253" s="5"/>
      <c r="C253" s="5"/>
      <c r="D253" s="5"/>
    </row>
    <row r="254" spans="1:4">
      <c r="A254" s="5"/>
      <c r="B254" s="5"/>
      <c r="C254" s="5"/>
      <c r="D254" s="5"/>
    </row>
    <row r="255" spans="1:4">
      <c r="A255" s="5"/>
      <c r="B255" s="5"/>
      <c r="C255" s="5"/>
      <c r="D255" s="5"/>
    </row>
    <row r="256" spans="1:4">
      <c r="A256" s="5"/>
      <c r="B256" s="5"/>
      <c r="C256" s="5"/>
      <c r="D256" s="5"/>
    </row>
    <row r="257" spans="1:4">
      <c r="A257" s="5"/>
      <c r="B257" s="5"/>
      <c r="C257" s="5"/>
      <c r="D257" s="5"/>
    </row>
    <row r="258" spans="1:4">
      <c r="A258" s="5"/>
      <c r="B258" s="5"/>
      <c r="C258" s="5"/>
      <c r="D258" s="5"/>
    </row>
    <row r="259" spans="1:4">
      <c r="A259" s="5"/>
      <c r="B259" s="5"/>
      <c r="C259" s="5"/>
      <c r="D259" s="5"/>
    </row>
    <row r="260" spans="1:4">
      <c r="A260" s="5"/>
      <c r="B260" s="5"/>
      <c r="C260" s="5"/>
      <c r="D260" s="5"/>
    </row>
    <row r="261" spans="1:4">
      <c r="A261" s="5"/>
      <c r="B261" s="5"/>
      <c r="C261" s="5"/>
      <c r="D261" s="5"/>
    </row>
    <row r="262" spans="1:4">
      <c r="A262" s="5"/>
      <c r="B262" s="5"/>
      <c r="C262" s="5"/>
      <c r="D262" s="5"/>
    </row>
    <row r="263" spans="1:4">
      <c r="A263" s="5"/>
      <c r="B263" s="5"/>
      <c r="C263" s="5"/>
      <c r="D263" s="5"/>
    </row>
    <row r="264" spans="1:4">
      <c r="A264" s="5"/>
      <c r="B264" s="5"/>
      <c r="C264" s="5"/>
      <c r="D264" s="5"/>
    </row>
    <row r="265" spans="1:4">
      <c r="A265" s="5"/>
      <c r="B265" s="5"/>
      <c r="C265" s="5"/>
      <c r="D265" s="5"/>
    </row>
    <row r="266" spans="1:4">
      <c r="A266" s="5"/>
      <c r="B266" s="5"/>
      <c r="C266" s="5"/>
      <c r="D266" s="5"/>
    </row>
    <row r="267" spans="1:4">
      <c r="A267" s="5"/>
      <c r="B267" s="5"/>
      <c r="C267" s="5"/>
      <c r="D267" s="5"/>
    </row>
    <row r="268" spans="1:4">
      <c r="A268" s="5"/>
      <c r="B268" s="5"/>
      <c r="C268" s="5"/>
      <c r="D268" s="5"/>
    </row>
    <row r="269" spans="1:4">
      <c r="A269" s="5"/>
      <c r="B269" s="5"/>
      <c r="C269" s="5"/>
      <c r="D269" s="5"/>
    </row>
    <row r="270" spans="1:4">
      <c r="A270" s="5"/>
      <c r="B270" s="5"/>
      <c r="C270" s="5"/>
      <c r="D270" s="5"/>
    </row>
    <row r="271" spans="1:4">
      <c r="A271" s="5"/>
      <c r="B271" s="5"/>
      <c r="C271" s="5"/>
      <c r="D271" s="5"/>
    </row>
    <row r="272" spans="1:4">
      <c r="A272" s="5"/>
      <c r="B272" s="5"/>
      <c r="C272" s="5"/>
      <c r="D272" s="5"/>
    </row>
    <row r="273" spans="1:4">
      <c r="A273" s="5"/>
      <c r="B273" s="5"/>
      <c r="C273" s="5"/>
      <c r="D273" s="5"/>
    </row>
    <row r="274" spans="1:4">
      <c r="A274" s="5"/>
      <c r="B274" s="5"/>
      <c r="C274" s="5"/>
      <c r="D274" s="5"/>
    </row>
    <row r="275" spans="1:4">
      <c r="A275" s="5"/>
      <c r="B275" s="5"/>
      <c r="C275" s="5"/>
      <c r="D275" s="5"/>
    </row>
    <row r="276" spans="1:4">
      <c r="A276" s="5"/>
      <c r="B276" s="5"/>
      <c r="C276" s="5"/>
      <c r="D276" s="5"/>
    </row>
    <row r="277" spans="1:4">
      <c r="A277" s="5"/>
      <c r="B277" s="5"/>
      <c r="C277" s="5"/>
      <c r="D277" s="5"/>
    </row>
    <row r="278" spans="1:4">
      <c r="A278" s="5"/>
      <c r="B278" s="5"/>
      <c r="C278" s="5"/>
      <c r="D278" s="5"/>
    </row>
    <row r="279" spans="1:4">
      <c r="A279" s="5"/>
      <c r="B279" s="5"/>
      <c r="C279" s="5"/>
      <c r="D279" s="5"/>
    </row>
    <row r="280" spans="1:4">
      <c r="A280" s="5"/>
      <c r="B280" s="5"/>
      <c r="C280" s="5"/>
      <c r="D280" s="5"/>
    </row>
    <row r="281" spans="1:4">
      <c r="A281" s="5"/>
      <c r="B281" s="5"/>
      <c r="C281" s="5"/>
      <c r="D281" s="5"/>
    </row>
    <row r="282" spans="1:4">
      <c r="A282" s="5"/>
      <c r="B282" s="5"/>
      <c r="C282" s="5"/>
      <c r="D282" s="5"/>
    </row>
    <row r="283" spans="1:4">
      <c r="A283" s="5"/>
      <c r="B283" s="5"/>
      <c r="C283" s="5"/>
      <c r="D283" s="5"/>
    </row>
    <row r="284" spans="1:4">
      <c r="A284" s="5"/>
      <c r="B284" s="5"/>
      <c r="C284" s="5"/>
      <c r="D284" s="5"/>
    </row>
    <row r="285" spans="1:4">
      <c r="A285" s="5"/>
      <c r="B285" s="5"/>
      <c r="C285" s="5"/>
      <c r="D285" s="5"/>
    </row>
    <row r="286" spans="1:4">
      <c r="A286" s="5"/>
      <c r="B286" s="5"/>
      <c r="C286" s="5"/>
      <c r="D286" s="5"/>
    </row>
    <row r="287" spans="1:4">
      <c r="A287" s="5"/>
      <c r="B287" s="5"/>
      <c r="C287" s="5"/>
      <c r="D287" s="5"/>
    </row>
    <row r="288" spans="1:4">
      <c r="A288" s="5"/>
      <c r="B288" s="5"/>
      <c r="C288" s="5"/>
      <c r="D288" s="5"/>
    </row>
    <row r="289" spans="1:4">
      <c r="A289" s="5"/>
      <c r="B289" s="5"/>
      <c r="C289" s="5"/>
      <c r="D289" s="5"/>
    </row>
    <row r="290" spans="1:4">
      <c r="A290" s="5"/>
      <c r="B290" s="5"/>
      <c r="C290" s="5"/>
      <c r="D290" s="5"/>
    </row>
    <row r="291" spans="1:4">
      <c r="A291" s="5"/>
      <c r="B291" s="5"/>
      <c r="C291" s="5"/>
      <c r="D291" s="5"/>
    </row>
    <row r="292" spans="1:4">
      <c r="A292" s="5"/>
      <c r="B292" s="5"/>
      <c r="C292" s="5"/>
      <c r="D292" s="5"/>
    </row>
    <row r="293" spans="1:4">
      <c r="A293" s="5"/>
      <c r="B293" s="5"/>
      <c r="C293" s="5"/>
      <c r="D293" s="5"/>
    </row>
    <row r="294" spans="1:4">
      <c r="A294" s="5"/>
      <c r="B294" s="5"/>
      <c r="C294" s="5"/>
      <c r="D294" s="5"/>
    </row>
    <row r="295" spans="1:4">
      <c r="A295" s="5"/>
      <c r="B295" s="5"/>
      <c r="C295" s="5"/>
      <c r="D295" s="5"/>
    </row>
    <row r="296" spans="1:4">
      <c r="A296" s="5"/>
      <c r="B296" s="5"/>
      <c r="C296" s="5"/>
      <c r="D296" s="5"/>
    </row>
    <row r="297" spans="1:4">
      <c r="A297" s="5"/>
      <c r="B297" s="5"/>
      <c r="C297" s="5"/>
      <c r="D297" s="5"/>
    </row>
    <row r="298" spans="1:4">
      <c r="A298" s="5"/>
      <c r="B298" s="5"/>
      <c r="C298" s="5"/>
      <c r="D298" s="5"/>
    </row>
    <row r="299" spans="1:4">
      <c r="A299" s="5"/>
      <c r="B299" s="5"/>
      <c r="C299" s="5"/>
      <c r="D299" s="5"/>
    </row>
    <row r="300" spans="1:4">
      <c r="A300" s="5"/>
      <c r="B300" s="5"/>
      <c r="C300" s="5"/>
      <c r="D300" s="5"/>
    </row>
    <row r="301" spans="1:4">
      <c r="A301" s="5"/>
      <c r="B301" s="5"/>
      <c r="C301" s="5"/>
      <c r="D301" s="5"/>
    </row>
    <row r="302" spans="1:4">
      <c r="A302" s="5"/>
      <c r="B302" s="5"/>
      <c r="C302" s="5"/>
      <c r="D302" s="5"/>
    </row>
    <row r="303" spans="1:4">
      <c r="A303" s="5"/>
      <c r="B303" s="5"/>
      <c r="C303" s="5"/>
      <c r="D303" s="5"/>
    </row>
    <row r="304" spans="1:4">
      <c r="A304" s="5"/>
      <c r="B304" s="5"/>
      <c r="C304" s="5"/>
      <c r="D304" s="5"/>
    </row>
    <row r="305" spans="1:4">
      <c r="A305" s="5"/>
      <c r="B305" s="5"/>
      <c r="C305" s="5"/>
      <c r="D305" s="5"/>
    </row>
    <row r="306" spans="1:4">
      <c r="A306" s="5"/>
      <c r="B306" s="5"/>
      <c r="C306" s="5"/>
      <c r="D306" s="5"/>
    </row>
    <row r="307" spans="1:4">
      <c r="A307" s="5"/>
      <c r="B307" s="5"/>
      <c r="C307" s="5"/>
      <c r="D307" s="5"/>
    </row>
    <row r="308" spans="1:4">
      <c r="A308" s="5"/>
      <c r="B308" s="5"/>
      <c r="C308" s="5"/>
      <c r="D308" s="5"/>
    </row>
    <row r="309" spans="1:4">
      <c r="A309" s="5"/>
      <c r="B309" s="5"/>
      <c r="C309" s="5"/>
      <c r="D309" s="5"/>
    </row>
    <row r="310" spans="1:4">
      <c r="A310" s="5"/>
      <c r="B310" s="5"/>
      <c r="C310" s="5"/>
      <c r="D310" s="5"/>
    </row>
    <row r="311" spans="1:4">
      <c r="A311" s="5"/>
      <c r="B311" s="5"/>
      <c r="C311" s="5"/>
      <c r="D311" s="5"/>
    </row>
    <row r="312" spans="1:4">
      <c r="A312" s="5"/>
      <c r="B312" s="5"/>
      <c r="C312" s="5"/>
      <c r="D312" s="5"/>
    </row>
    <row r="313" spans="1:4">
      <c r="A313" s="5"/>
      <c r="B313" s="5"/>
      <c r="C313" s="5"/>
      <c r="D313" s="5"/>
    </row>
    <row r="314" spans="1:4">
      <c r="A314" s="5"/>
      <c r="B314" s="5"/>
      <c r="C314" s="5"/>
      <c r="D314" s="5"/>
    </row>
    <row r="315" spans="1:4">
      <c r="A315" s="5"/>
      <c r="B315" s="5"/>
      <c r="C315" s="5"/>
      <c r="D315" s="5"/>
    </row>
    <row r="316" spans="1:4">
      <c r="A316" s="5"/>
      <c r="B316" s="5"/>
      <c r="C316" s="5"/>
      <c r="D316" s="5"/>
    </row>
    <row r="317" spans="1:4">
      <c r="A317" s="5"/>
      <c r="B317" s="5"/>
      <c r="C317" s="5"/>
      <c r="D317" s="5"/>
    </row>
    <row r="318" spans="1:4">
      <c r="A318" s="5"/>
      <c r="B318" s="5"/>
      <c r="C318" s="5"/>
      <c r="D318" s="5"/>
    </row>
    <row r="319" spans="1:4">
      <c r="A319" s="5"/>
      <c r="B319" s="5"/>
      <c r="C319" s="5"/>
      <c r="D319" s="5"/>
    </row>
    <row r="320" spans="1:4">
      <c r="A320" s="5"/>
      <c r="B320" s="5"/>
      <c r="C320" s="5"/>
      <c r="D320" s="5"/>
    </row>
    <row r="321" spans="1:4">
      <c r="A321" s="5"/>
      <c r="B321" s="5"/>
      <c r="C321" s="5"/>
      <c r="D321" s="5"/>
    </row>
    <row r="322" spans="1:4">
      <c r="A322" s="5"/>
      <c r="B322" s="5"/>
      <c r="C322" s="5"/>
      <c r="D322" s="5"/>
    </row>
    <row r="323" spans="1:4">
      <c r="A323" s="5"/>
      <c r="B323" s="5"/>
      <c r="C323" s="5"/>
      <c r="D323" s="5"/>
    </row>
    <row r="324" spans="1:4">
      <c r="A324" s="5"/>
      <c r="B324" s="5"/>
      <c r="C324" s="5"/>
      <c r="D324" s="5"/>
    </row>
    <row r="325" spans="1:4">
      <c r="A325" s="5"/>
      <c r="B325" s="5"/>
      <c r="C325" s="5"/>
      <c r="D325" s="5"/>
    </row>
    <row r="326" spans="1:4">
      <c r="A326" s="5"/>
      <c r="B326" s="5"/>
      <c r="C326" s="5"/>
      <c r="D326" s="5"/>
    </row>
    <row r="327" spans="1:4">
      <c r="A327" s="5"/>
      <c r="B327" s="5"/>
      <c r="C327" s="5"/>
      <c r="D327" s="5"/>
    </row>
    <row r="328" spans="1:4">
      <c r="A328" s="5"/>
      <c r="B328" s="5"/>
      <c r="C328" s="5"/>
      <c r="D328" s="5"/>
    </row>
    <row r="329" spans="1:4">
      <c r="A329" s="5"/>
      <c r="B329" s="5"/>
      <c r="C329" s="5"/>
      <c r="D329" s="5"/>
    </row>
    <row r="330" spans="1:4">
      <c r="A330" s="5"/>
      <c r="B330" s="5"/>
      <c r="C330" s="5"/>
      <c r="D330" s="5"/>
    </row>
    <row r="331" spans="1:4">
      <c r="A331" s="5"/>
      <c r="B331" s="5"/>
      <c r="C331" s="5"/>
      <c r="D331" s="5"/>
    </row>
    <row r="332" spans="1:4">
      <c r="A332" s="5"/>
      <c r="B332" s="5"/>
      <c r="C332" s="5"/>
      <c r="D332" s="5"/>
    </row>
    <row r="333" spans="1:4">
      <c r="A333" s="5"/>
      <c r="B333" s="5"/>
      <c r="C333" s="5"/>
      <c r="D333" s="5"/>
    </row>
    <row r="334" spans="1:4">
      <c r="A334" s="5"/>
      <c r="B334" s="5"/>
      <c r="C334" s="5"/>
      <c r="D334" s="5"/>
    </row>
    <row r="335" spans="1:4">
      <c r="A335" s="5"/>
      <c r="B335" s="5"/>
      <c r="C335" s="5"/>
      <c r="D335" s="5"/>
    </row>
    <row r="336" spans="1:4">
      <c r="A336" s="5"/>
      <c r="B336" s="5"/>
      <c r="C336" s="5"/>
      <c r="D336" s="5"/>
    </row>
    <row r="337" spans="1:4">
      <c r="A337" s="5"/>
      <c r="B337" s="5"/>
      <c r="C337" s="5"/>
      <c r="D337" s="5"/>
    </row>
    <row r="338" spans="1:4">
      <c r="A338" s="5"/>
      <c r="B338" s="5"/>
      <c r="C338" s="5"/>
      <c r="D338" s="5"/>
    </row>
    <row r="339" spans="1:4">
      <c r="A339" s="5"/>
      <c r="B339" s="5"/>
      <c r="C339" s="5"/>
      <c r="D339" s="5"/>
    </row>
    <row r="340" spans="1:4">
      <c r="A340" s="5"/>
      <c r="B340" s="5"/>
      <c r="C340" s="5"/>
      <c r="D340" s="5"/>
    </row>
    <row r="341" spans="1:4">
      <c r="A341" s="5"/>
      <c r="B341" s="5"/>
      <c r="C341" s="5"/>
      <c r="D341" s="5"/>
    </row>
    <row r="342" spans="1:4">
      <c r="A342" s="5"/>
      <c r="B342" s="5"/>
      <c r="C342" s="5"/>
      <c r="D342" s="5"/>
    </row>
    <row r="343" spans="1:4">
      <c r="A343" s="5"/>
      <c r="B343" s="5"/>
      <c r="C343" s="5"/>
      <c r="D343" s="5"/>
    </row>
    <row r="344" spans="1:4">
      <c r="A344" s="5"/>
      <c r="B344" s="5"/>
      <c r="C344" s="5"/>
      <c r="D344" s="5"/>
    </row>
    <row r="345" spans="1:4">
      <c r="A345" s="5"/>
      <c r="B345" s="5"/>
      <c r="C345" s="5"/>
      <c r="D345" s="5"/>
    </row>
    <row r="346" spans="1:4">
      <c r="A346" s="5"/>
      <c r="B346" s="5"/>
      <c r="C346" s="5"/>
      <c r="D346" s="5"/>
    </row>
    <row r="347" spans="1:4">
      <c r="A347" s="5"/>
      <c r="B347" s="5"/>
      <c r="C347" s="5"/>
      <c r="D347" s="5"/>
    </row>
    <row r="348" spans="1:4">
      <c r="A348" s="5"/>
      <c r="B348" s="5"/>
      <c r="C348" s="5"/>
      <c r="D348" s="5"/>
    </row>
    <row r="349" spans="1:4">
      <c r="A349" s="5"/>
      <c r="B349" s="5"/>
      <c r="C349" s="5"/>
      <c r="D349" s="5"/>
    </row>
    <row r="350" spans="1:4">
      <c r="A350" s="5"/>
      <c r="B350" s="5"/>
      <c r="C350" s="5"/>
      <c r="D350" s="5"/>
    </row>
    <row r="351" spans="1:4">
      <c r="A351" s="5"/>
      <c r="B351" s="5"/>
      <c r="C351" s="5"/>
      <c r="D351" s="5"/>
    </row>
    <row r="352" spans="1:4">
      <c r="A352" s="5"/>
      <c r="B352" s="5"/>
      <c r="C352" s="5"/>
      <c r="D352" s="5"/>
    </row>
    <row r="353" spans="1:4">
      <c r="A353" s="5"/>
      <c r="B353" s="5"/>
      <c r="C353" s="5"/>
      <c r="D353" s="5"/>
    </row>
    <row r="354" spans="1:4">
      <c r="A354" s="5"/>
      <c r="B354" s="5"/>
      <c r="C354" s="5"/>
      <c r="D354" s="5"/>
    </row>
    <row r="355" spans="1:4">
      <c r="A355" s="5"/>
      <c r="B355" s="5"/>
      <c r="C355" s="5"/>
      <c r="D355" s="5"/>
    </row>
    <row r="356" spans="1:4">
      <c r="A356" s="5"/>
      <c r="B356" s="5"/>
      <c r="C356" s="5"/>
      <c r="D356" s="5"/>
    </row>
    <row r="357" spans="1:4">
      <c r="A357" s="5"/>
      <c r="B357" s="5"/>
      <c r="C357" s="5"/>
      <c r="D357" s="5"/>
    </row>
    <row r="358" spans="1:4">
      <c r="A358" s="5"/>
      <c r="B358" s="5"/>
      <c r="C358" s="5"/>
      <c r="D358" s="5"/>
    </row>
    <row r="359" spans="1:4">
      <c r="A359" s="5"/>
      <c r="B359" s="5"/>
      <c r="C359" s="5"/>
      <c r="D359" s="5"/>
    </row>
    <row r="360" spans="1:4">
      <c r="A360" s="5"/>
      <c r="B360" s="5"/>
      <c r="C360" s="5"/>
      <c r="D360" s="5"/>
    </row>
    <row r="361" spans="1:4">
      <c r="A361" s="5"/>
      <c r="B361" s="5"/>
      <c r="C361" s="5"/>
      <c r="D361" s="5"/>
    </row>
    <row r="362" spans="1:4">
      <c r="A362" s="5"/>
      <c r="B362" s="5"/>
      <c r="C362" s="5"/>
      <c r="D362" s="5"/>
    </row>
    <row r="363" spans="1:4">
      <c r="A363" s="5"/>
      <c r="B363" s="5"/>
      <c r="C363" s="5"/>
      <c r="D363" s="5"/>
    </row>
    <row r="364" spans="1:4">
      <c r="A364" s="5"/>
      <c r="B364" s="5"/>
      <c r="C364" s="5"/>
      <c r="D364" s="5"/>
    </row>
    <row r="365" spans="1:4">
      <c r="A365" s="5"/>
      <c r="B365" s="5"/>
      <c r="C365" s="5"/>
      <c r="D365" s="5"/>
    </row>
    <row r="366" spans="1:4">
      <c r="A366" s="5"/>
      <c r="B366" s="5"/>
      <c r="C366" s="5"/>
      <c r="D366" s="5"/>
    </row>
    <row r="367" spans="1:4">
      <c r="A367" s="5"/>
      <c r="B367" s="5"/>
      <c r="C367" s="5"/>
      <c r="D367" s="5"/>
    </row>
    <row r="368" spans="1:4">
      <c r="A368" s="5"/>
      <c r="B368" s="5"/>
      <c r="C368" s="5"/>
      <c r="D368" s="5"/>
    </row>
    <row r="369" spans="1:4">
      <c r="A369" s="5"/>
      <c r="B369" s="5"/>
      <c r="C369" s="5"/>
      <c r="D369" s="5"/>
    </row>
    <row r="370" spans="1:4">
      <c r="A370" s="5"/>
      <c r="B370" s="5"/>
      <c r="C370" s="5"/>
      <c r="D370" s="5"/>
    </row>
    <row r="371" spans="1:4">
      <c r="A371" s="5"/>
      <c r="B371" s="5"/>
      <c r="C371" s="5"/>
      <c r="D371" s="5"/>
    </row>
    <row r="372" spans="1:4">
      <c r="A372" s="5"/>
      <c r="B372" s="5"/>
      <c r="C372" s="5"/>
      <c r="D372" s="5"/>
    </row>
    <row r="373" spans="1:4">
      <c r="A373" s="5"/>
      <c r="B373" s="5"/>
      <c r="C373" s="5"/>
      <c r="D373" s="5"/>
    </row>
    <row r="374" spans="1:4">
      <c r="A374" s="5"/>
      <c r="B374" s="5"/>
      <c r="C374" s="5"/>
      <c r="D374" s="5"/>
    </row>
    <row r="375" spans="1:4">
      <c r="A375" s="5"/>
      <c r="B375" s="5"/>
      <c r="C375" s="5"/>
      <c r="D375" s="5"/>
    </row>
    <row r="376" spans="1:4">
      <c r="A376" s="5"/>
      <c r="B376" s="5"/>
      <c r="C376" s="5"/>
      <c r="D376" s="5"/>
    </row>
    <row r="377" spans="1:4">
      <c r="A377" s="5"/>
      <c r="B377" s="5"/>
      <c r="C377" s="5"/>
      <c r="D377" s="5"/>
    </row>
    <row r="378" spans="1:4">
      <c r="A378" s="5"/>
      <c r="B378" s="5"/>
      <c r="C378" s="5"/>
      <c r="D378" s="5"/>
    </row>
    <row r="379" spans="1:4">
      <c r="A379" s="5"/>
      <c r="B379" s="5"/>
      <c r="C379" s="5"/>
      <c r="D379" s="5"/>
    </row>
    <row r="380" spans="1:4">
      <c r="A380" s="5"/>
      <c r="B380" s="5"/>
      <c r="C380" s="5"/>
      <c r="D380" s="5"/>
    </row>
    <row r="381" spans="1:4">
      <c r="A381" s="5"/>
      <c r="B381" s="5"/>
      <c r="C381" s="5"/>
      <c r="D381" s="5"/>
    </row>
    <row r="382" spans="1:4">
      <c r="A382" s="5"/>
      <c r="B382" s="5"/>
      <c r="C382" s="5"/>
      <c r="D382" s="5"/>
    </row>
    <row r="383" spans="1:4">
      <c r="A383" s="5"/>
      <c r="B383" s="5"/>
      <c r="C383" s="5"/>
      <c r="D383" s="5"/>
    </row>
    <row r="384" spans="1:4">
      <c r="A384" s="5"/>
      <c r="B384" s="5"/>
      <c r="C384" s="5"/>
      <c r="D384" s="5"/>
    </row>
    <row r="385" spans="1:4">
      <c r="A385" s="5"/>
      <c r="B385" s="5"/>
      <c r="C385" s="5"/>
      <c r="D385" s="5"/>
    </row>
    <row r="386" spans="1:4">
      <c r="A386" s="5"/>
      <c r="B386" s="5"/>
      <c r="C386" s="5"/>
      <c r="D386" s="5"/>
    </row>
    <row r="387" spans="1:4">
      <c r="A387" s="5"/>
      <c r="B387" s="5"/>
      <c r="C387" s="5"/>
      <c r="D387" s="5"/>
    </row>
    <row r="388" spans="1:4">
      <c r="A388" s="5"/>
      <c r="B388" s="5"/>
      <c r="C388" s="5"/>
      <c r="D388" s="5"/>
    </row>
    <row r="389" spans="1:4">
      <c r="A389" s="5"/>
      <c r="B389" s="5"/>
      <c r="C389" s="5"/>
      <c r="D389" s="5"/>
    </row>
    <row r="390" spans="1:4">
      <c r="A390" s="5"/>
      <c r="B390" s="5"/>
      <c r="C390" s="5"/>
      <c r="D390" s="5"/>
    </row>
    <row r="391" spans="1:4">
      <c r="A391" s="5"/>
      <c r="B391" s="5"/>
      <c r="C391" s="5"/>
      <c r="D391" s="5"/>
    </row>
    <row r="392" spans="1:4">
      <c r="A392" s="5"/>
      <c r="B392" s="5"/>
      <c r="C392" s="5"/>
      <c r="D392" s="5"/>
    </row>
    <row r="393" spans="1:4">
      <c r="A393" s="5"/>
      <c r="B393" s="5"/>
      <c r="C393" s="5"/>
      <c r="D393" s="5"/>
    </row>
    <row r="394" spans="1:4">
      <c r="A394" s="5"/>
      <c r="B394" s="5"/>
      <c r="C394" s="5"/>
      <c r="D394" s="5"/>
    </row>
    <row r="395" spans="1:4">
      <c r="A395" s="5"/>
      <c r="B395" s="5"/>
      <c r="C395" s="5"/>
      <c r="D395" s="5"/>
    </row>
    <row r="396" spans="1:4">
      <c r="A396" s="5"/>
      <c r="B396" s="5"/>
      <c r="C396" s="5"/>
      <c r="D396" s="5"/>
    </row>
    <row r="397" spans="1:4">
      <c r="A397" s="5"/>
      <c r="B397" s="5"/>
      <c r="C397" s="5"/>
      <c r="D397" s="5"/>
    </row>
    <row r="398" spans="1:4">
      <c r="A398" s="5"/>
      <c r="B398" s="5"/>
      <c r="C398" s="5"/>
      <c r="D398" s="5"/>
    </row>
    <row r="399" spans="1:4">
      <c r="A399" s="5"/>
      <c r="B399" s="5"/>
      <c r="C399" s="5"/>
      <c r="D399" s="5"/>
    </row>
    <row r="400" spans="1:4">
      <c r="A400" s="5"/>
      <c r="B400" s="5"/>
      <c r="C400" s="5"/>
      <c r="D400" s="5"/>
    </row>
    <row r="401" spans="1:4">
      <c r="A401" s="5"/>
      <c r="B401" s="5"/>
      <c r="C401" s="5"/>
      <c r="D401" s="5"/>
    </row>
    <row r="402" spans="1:4">
      <c r="A402" s="5"/>
      <c r="B402" s="5"/>
      <c r="C402" s="5"/>
      <c r="D402" s="5"/>
    </row>
    <row r="403" spans="1:4">
      <c r="A403" s="5"/>
      <c r="B403" s="5"/>
      <c r="C403" s="5"/>
      <c r="D403" s="5"/>
    </row>
    <row r="404" spans="1:4">
      <c r="A404" s="5"/>
      <c r="B404" s="5"/>
      <c r="C404" s="5"/>
      <c r="D404" s="5"/>
    </row>
    <row r="405" spans="1:4">
      <c r="A405" s="5"/>
      <c r="B405" s="5"/>
      <c r="C405" s="5"/>
      <c r="D405" s="5"/>
    </row>
    <row r="406" spans="1:4">
      <c r="A406" s="5"/>
      <c r="B406" s="5"/>
      <c r="C406" s="5"/>
      <c r="D406" s="5"/>
    </row>
    <row r="407" spans="1:4">
      <c r="A407" s="5"/>
      <c r="B407" s="5"/>
      <c r="C407" s="5"/>
      <c r="D407" s="5"/>
    </row>
    <row r="408" spans="1:4">
      <c r="A408" s="5"/>
      <c r="B408" s="5"/>
      <c r="C408" s="5"/>
      <c r="D408" s="5"/>
    </row>
    <row r="409" spans="1:4">
      <c r="A409" s="5"/>
      <c r="B409" s="5"/>
      <c r="C409" s="5"/>
      <c r="D409" s="5"/>
    </row>
    <row r="410" spans="1:4">
      <c r="A410" s="5"/>
      <c r="B410" s="5"/>
      <c r="C410" s="5"/>
      <c r="D410" s="5"/>
    </row>
    <row r="411" spans="1:4">
      <c r="A411" s="5"/>
      <c r="B411" s="5"/>
      <c r="C411" s="5"/>
      <c r="D411" s="5"/>
    </row>
    <row r="412" spans="1:4">
      <c r="A412" s="5"/>
      <c r="B412" s="5"/>
      <c r="C412" s="5"/>
      <c r="D412" s="5"/>
    </row>
    <row r="413" spans="1:4">
      <c r="A413" s="5"/>
      <c r="B413" s="5"/>
      <c r="C413" s="5"/>
      <c r="D413" s="5"/>
    </row>
    <row r="414" spans="1:4">
      <c r="A414" s="5"/>
      <c r="B414" s="5"/>
      <c r="C414" s="5"/>
      <c r="D414" s="5"/>
    </row>
    <row r="415" spans="1:4">
      <c r="A415" s="5"/>
      <c r="B415" s="5"/>
      <c r="C415" s="5"/>
      <c r="D415" s="5"/>
    </row>
    <row r="416" spans="1:4">
      <c r="A416" s="5"/>
      <c r="B416" s="5"/>
      <c r="C416" s="5"/>
      <c r="D416" s="5"/>
    </row>
    <row r="417" spans="1:4">
      <c r="A417" s="5"/>
      <c r="B417" s="5"/>
      <c r="C417" s="5"/>
      <c r="D417" s="5"/>
    </row>
    <row r="418" spans="1:4">
      <c r="A418" s="5"/>
      <c r="B418" s="5"/>
      <c r="C418" s="5"/>
      <c r="D418" s="5"/>
    </row>
    <row r="419" spans="1:4">
      <c r="A419" s="5"/>
      <c r="B419" s="5"/>
      <c r="C419" s="5"/>
      <c r="D419" s="5"/>
    </row>
    <row r="420" spans="1:4">
      <c r="A420" s="5"/>
      <c r="B420" s="5"/>
      <c r="C420" s="5"/>
      <c r="D420" s="5"/>
    </row>
    <row r="421" spans="1:4">
      <c r="A421" s="5"/>
      <c r="B421" s="5"/>
      <c r="C421" s="5"/>
      <c r="D421" s="5"/>
    </row>
    <row r="422" spans="1:4">
      <c r="A422" s="5"/>
      <c r="B422" s="5"/>
      <c r="C422" s="5"/>
      <c r="D422" s="5"/>
    </row>
    <row r="423" spans="1:4">
      <c r="A423" s="5"/>
      <c r="B423" s="5"/>
      <c r="C423" s="5"/>
      <c r="D423" s="5"/>
    </row>
    <row r="424" spans="1:4">
      <c r="A424" s="5"/>
      <c r="B424" s="5"/>
      <c r="C424" s="5"/>
      <c r="D424" s="5"/>
    </row>
    <row r="425" spans="1:4">
      <c r="A425" s="5"/>
      <c r="B425" s="5"/>
      <c r="C425" s="5"/>
      <c r="D425" s="5"/>
    </row>
    <row r="426" spans="1:4">
      <c r="A426" s="5"/>
      <c r="B426" s="5"/>
      <c r="C426" s="5"/>
      <c r="D426" s="5"/>
    </row>
    <row r="427" spans="1:4">
      <c r="A427" s="5"/>
      <c r="B427" s="5"/>
      <c r="C427" s="5"/>
      <c r="D427" s="5"/>
    </row>
    <row r="428" spans="1:4">
      <c r="A428" s="5"/>
      <c r="B428" s="5"/>
      <c r="C428" s="5"/>
      <c r="D428" s="5"/>
    </row>
    <row r="429" spans="1:4">
      <c r="A429" s="5"/>
      <c r="B429" s="5"/>
      <c r="C429" s="5"/>
      <c r="D429" s="5"/>
    </row>
    <row r="430" spans="1:4">
      <c r="A430" s="5"/>
      <c r="B430" s="5"/>
      <c r="C430" s="5"/>
      <c r="D430" s="5"/>
    </row>
    <row r="431" spans="1:4">
      <c r="A431" s="5"/>
      <c r="B431" s="5"/>
      <c r="C431" s="5"/>
      <c r="D431" s="5"/>
    </row>
    <row r="432" spans="1:4">
      <c r="A432" s="5"/>
      <c r="B432" s="5"/>
      <c r="C432" s="5"/>
      <c r="D432" s="5"/>
    </row>
    <row r="433" spans="1:4">
      <c r="A433" s="5"/>
      <c r="B433" s="5"/>
      <c r="C433" s="5"/>
      <c r="D433" s="5"/>
    </row>
    <row r="434" spans="1:4">
      <c r="A434" s="5"/>
      <c r="B434" s="5"/>
      <c r="C434" s="5"/>
      <c r="D434" s="5"/>
    </row>
    <row r="435" spans="1:4">
      <c r="A435" s="5"/>
      <c r="B435" s="5"/>
      <c r="C435" s="5"/>
      <c r="D435" s="5"/>
    </row>
    <row r="436" spans="1:4">
      <c r="A436" s="5"/>
      <c r="B436" s="5"/>
      <c r="C436" s="5"/>
      <c r="D436" s="5"/>
    </row>
    <row r="437" spans="1:4">
      <c r="A437" s="5"/>
      <c r="B437" s="5"/>
      <c r="C437" s="5"/>
      <c r="D437" s="5"/>
    </row>
    <row r="438" spans="1:4">
      <c r="A438" s="5"/>
      <c r="B438" s="5"/>
      <c r="C438" s="5"/>
      <c r="D438" s="5"/>
    </row>
    <row r="439" spans="1:4">
      <c r="A439" s="5"/>
      <c r="B439" s="5"/>
      <c r="C439" s="5"/>
      <c r="D439" s="5"/>
    </row>
    <row r="440" spans="1:4">
      <c r="A440" s="5"/>
      <c r="B440" s="5"/>
      <c r="C440" s="5"/>
      <c r="D440" s="5"/>
    </row>
    <row r="441" spans="1:4">
      <c r="A441" s="5"/>
      <c r="B441" s="5"/>
      <c r="C441" s="5"/>
      <c r="D441" s="5"/>
    </row>
    <row r="442" spans="1:4">
      <c r="A442" s="5"/>
      <c r="B442" s="5"/>
      <c r="C442" s="5"/>
      <c r="D442" s="5"/>
    </row>
    <row r="443" spans="1:4">
      <c r="A443" s="5"/>
      <c r="B443" s="5"/>
      <c r="C443" s="5"/>
      <c r="D443" s="5"/>
    </row>
    <row r="444" spans="1:4">
      <c r="A444" s="5"/>
      <c r="B444" s="5"/>
      <c r="C444" s="5"/>
      <c r="D444" s="5"/>
    </row>
    <row r="445" spans="1:4">
      <c r="A445" s="5"/>
      <c r="B445" s="5"/>
      <c r="C445" s="5"/>
      <c r="D445" s="5"/>
    </row>
    <row r="446" spans="1:4">
      <c r="A446" s="5"/>
      <c r="B446" s="5"/>
      <c r="C446" s="5"/>
      <c r="D446" s="5"/>
    </row>
    <row r="447" spans="1:4">
      <c r="A447" s="5"/>
      <c r="B447" s="5"/>
      <c r="C447" s="5"/>
      <c r="D447" s="5"/>
    </row>
    <row r="448" spans="1:4">
      <c r="A448" s="5"/>
      <c r="B448" s="5"/>
      <c r="C448" s="5"/>
      <c r="D448" s="5"/>
    </row>
    <row r="449" spans="1:4">
      <c r="A449" s="5"/>
      <c r="B449" s="5"/>
      <c r="C449" s="5"/>
      <c r="D449" s="5"/>
    </row>
    <row r="450" spans="1:4">
      <c r="A450" s="5"/>
      <c r="B450" s="5"/>
      <c r="C450" s="5"/>
      <c r="D450" s="5"/>
    </row>
    <row r="451" spans="1:4">
      <c r="A451" s="5"/>
      <c r="B451" s="5"/>
      <c r="C451" s="5"/>
      <c r="D451" s="5"/>
    </row>
    <row r="452" spans="1:4">
      <c r="A452" s="5"/>
      <c r="B452" s="5"/>
      <c r="C452" s="5"/>
      <c r="D452" s="5"/>
    </row>
    <row r="453" spans="1:4">
      <c r="A453" s="5"/>
      <c r="B453" s="5"/>
      <c r="C453" s="5"/>
      <c r="D453" s="5"/>
    </row>
    <row r="454" spans="1:4">
      <c r="A454" s="5"/>
      <c r="B454" s="5"/>
      <c r="C454" s="5"/>
      <c r="D454" s="5"/>
    </row>
    <row r="455" spans="1:4">
      <c r="A455" s="5"/>
      <c r="B455" s="5"/>
      <c r="C455" s="5"/>
      <c r="D455" s="5"/>
    </row>
    <row r="456" spans="1:4">
      <c r="A456" s="5"/>
      <c r="B456" s="5"/>
      <c r="C456" s="5"/>
      <c r="D456" s="5"/>
    </row>
    <row r="457" spans="1:4">
      <c r="A457" s="5"/>
      <c r="B457" s="5"/>
      <c r="C457" s="5"/>
      <c r="D457" s="5"/>
    </row>
    <row r="458" spans="1:4">
      <c r="A458" s="5"/>
      <c r="B458" s="5"/>
      <c r="C458" s="5"/>
      <c r="D458" s="5"/>
    </row>
    <row r="459" spans="1:4">
      <c r="A459" s="5"/>
      <c r="B459" s="5"/>
      <c r="C459" s="5"/>
      <c r="D459" s="5"/>
    </row>
    <row r="460" spans="1:4">
      <c r="A460" s="5"/>
      <c r="B460" s="5"/>
      <c r="C460" s="5"/>
      <c r="D460" s="5"/>
    </row>
    <row r="461" spans="1:4">
      <c r="A461" s="5"/>
      <c r="B461" s="5"/>
      <c r="C461" s="5"/>
      <c r="D461" s="5"/>
    </row>
    <row r="462" spans="1:4">
      <c r="A462" s="5"/>
      <c r="B462" s="5"/>
      <c r="C462" s="5"/>
      <c r="D462" s="5"/>
    </row>
    <row r="463" spans="1:4">
      <c r="A463" s="5"/>
      <c r="B463" s="5"/>
      <c r="C463" s="5"/>
      <c r="D463" s="5"/>
    </row>
    <row r="464" spans="1:4">
      <c r="A464" s="5"/>
      <c r="B464" s="5"/>
      <c r="C464" s="5"/>
      <c r="D464" s="5"/>
    </row>
    <row r="465" spans="1:4">
      <c r="A465" s="5"/>
      <c r="B465" s="5"/>
      <c r="C465" s="5"/>
      <c r="D465" s="5"/>
    </row>
    <row r="466" spans="1:4">
      <c r="A466" s="5"/>
      <c r="B466" s="5"/>
      <c r="C466" s="5"/>
      <c r="D466" s="5"/>
    </row>
    <row r="467" spans="1:4">
      <c r="A467" s="5"/>
      <c r="B467" s="5"/>
      <c r="C467" s="5"/>
      <c r="D467" s="5"/>
    </row>
    <row r="468" spans="1:4">
      <c r="A468" s="5"/>
      <c r="B468" s="5"/>
      <c r="C468" s="5"/>
      <c r="D468" s="5"/>
    </row>
    <row r="469" spans="1:4">
      <c r="A469" s="5"/>
      <c r="B469" s="5"/>
      <c r="C469" s="5"/>
      <c r="D469" s="5"/>
    </row>
    <row r="470" spans="1:4">
      <c r="A470" s="5"/>
      <c r="B470" s="5"/>
      <c r="C470" s="5"/>
      <c r="D470" s="5"/>
    </row>
    <row r="471" spans="1:4">
      <c r="A471" s="5"/>
      <c r="B471" s="5"/>
      <c r="C471" s="5"/>
      <c r="D471" s="5"/>
    </row>
    <row r="472" spans="1:4">
      <c r="A472" s="5"/>
      <c r="B472" s="5"/>
      <c r="C472" s="5"/>
      <c r="D472" s="5"/>
    </row>
    <row r="473" spans="1:4">
      <c r="A473" s="5"/>
      <c r="B473" s="5"/>
      <c r="C473" s="5"/>
      <c r="D473" s="5"/>
    </row>
    <row r="474" spans="1:4">
      <c r="A474" s="5"/>
      <c r="B474" s="5"/>
      <c r="C474" s="5"/>
      <c r="D474" s="5"/>
    </row>
    <row r="475" spans="1:4">
      <c r="A475" s="5"/>
      <c r="B475" s="5"/>
      <c r="C475" s="5"/>
      <c r="D475" s="5"/>
    </row>
    <row r="476" spans="1:4">
      <c r="A476" s="5"/>
      <c r="B476" s="5"/>
      <c r="C476" s="5"/>
      <c r="D476" s="5"/>
    </row>
    <row r="477" spans="1:4">
      <c r="A477" s="5"/>
      <c r="B477" s="5"/>
      <c r="C477" s="5"/>
      <c r="D477" s="5"/>
    </row>
    <row r="478" spans="1:4">
      <c r="A478" s="5"/>
      <c r="B478" s="5"/>
      <c r="C478" s="5"/>
      <c r="D478" s="5"/>
    </row>
    <row r="479" spans="1:4">
      <c r="A479" s="5"/>
      <c r="B479" s="5"/>
      <c r="C479" s="5"/>
      <c r="D479" s="5"/>
    </row>
    <row r="480" spans="1:4">
      <c r="A480" s="5"/>
      <c r="B480" s="5"/>
      <c r="C480" s="5"/>
      <c r="D480" s="5"/>
    </row>
    <row r="481" spans="1:4">
      <c r="A481" s="5"/>
      <c r="B481" s="5"/>
      <c r="C481" s="5"/>
      <c r="D481" s="5"/>
    </row>
    <row r="482" spans="1:4">
      <c r="A482" s="5"/>
      <c r="B482" s="5"/>
      <c r="C482" s="5"/>
      <c r="D482" s="5"/>
    </row>
    <row r="483" spans="1:4">
      <c r="A483" s="5"/>
      <c r="B483" s="5"/>
      <c r="C483" s="5"/>
      <c r="D483" s="5"/>
    </row>
    <row r="484" spans="1:4">
      <c r="A484" s="5"/>
      <c r="B484" s="5"/>
      <c r="C484" s="5"/>
      <c r="D484" s="5"/>
    </row>
    <row r="485" spans="1:4">
      <c r="A485" s="5"/>
      <c r="B485" s="5"/>
      <c r="C485" s="5"/>
      <c r="D485" s="5"/>
    </row>
    <row r="486" spans="1:4">
      <c r="A486" s="5"/>
      <c r="B486" s="5"/>
      <c r="C486" s="5"/>
      <c r="D486" s="5"/>
    </row>
    <row r="487" spans="1:4">
      <c r="A487" s="5"/>
      <c r="B487" s="5"/>
      <c r="C487" s="5"/>
      <c r="D487" s="5"/>
    </row>
    <row r="488" spans="1:4">
      <c r="A488" s="5"/>
      <c r="B488" s="5"/>
      <c r="C488" s="5"/>
      <c r="D488" s="5"/>
    </row>
    <row r="489" spans="1:4">
      <c r="A489" s="5"/>
      <c r="B489" s="5"/>
      <c r="C489" s="5"/>
      <c r="D489" s="5"/>
    </row>
    <row r="490" spans="1:4">
      <c r="A490" s="5"/>
      <c r="B490" s="5"/>
      <c r="C490" s="5"/>
      <c r="D490" s="5"/>
    </row>
    <row r="491" spans="1:4">
      <c r="A491" s="5"/>
      <c r="B491" s="5"/>
      <c r="C491" s="5"/>
      <c r="D491" s="5"/>
    </row>
    <row r="492" spans="1:4">
      <c r="A492" s="5"/>
      <c r="B492" s="5"/>
      <c r="C492" s="5"/>
      <c r="D492" s="5"/>
    </row>
    <row r="493" spans="1:4">
      <c r="A493" s="5"/>
      <c r="B493" s="5"/>
      <c r="C493" s="5"/>
      <c r="D493" s="5"/>
    </row>
    <row r="494" spans="1:4">
      <c r="A494" s="5"/>
      <c r="B494" s="5"/>
      <c r="C494" s="5"/>
      <c r="D494" s="5"/>
    </row>
    <row r="495" spans="1:4">
      <c r="A495" s="5"/>
      <c r="B495" s="5"/>
      <c r="C495" s="5"/>
      <c r="D495" s="5"/>
    </row>
    <row r="496" spans="1:4">
      <c r="A496" s="5"/>
      <c r="B496" s="5"/>
      <c r="C496" s="5"/>
      <c r="D496" s="5"/>
    </row>
    <row r="497" spans="1:4">
      <c r="A497" s="5"/>
      <c r="B497" s="5"/>
      <c r="C497" s="5"/>
      <c r="D497" s="5"/>
    </row>
    <row r="498" spans="1:4">
      <c r="A498" s="5"/>
      <c r="B498" s="5"/>
      <c r="C498" s="5"/>
      <c r="D498" s="5"/>
    </row>
    <row r="499" spans="1:4">
      <c r="A499" s="5"/>
      <c r="B499" s="5"/>
      <c r="C499" s="5"/>
      <c r="D499" s="5"/>
    </row>
    <row r="500" spans="1:4">
      <c r="A500" s="5"/>
      <c r="B500" s="5"/>
      <c r="C500" s="5"/>
      <c r="D500" s="5"/>
    </row>
    <row r="501" spans="1:4">
      <c r="A501" s="5"/>
      <c r="B501" s="5"/>
      <c r="C501" s="5"/>
      <c r="D501" s="5"/>
    </row>
    <row r="502" spans="1:4">
      <c r="A502" s="5"/>
      <c r="B502" s="5"/>
      <c r="C502" s="5"/>
      <c r="D502" s="5"/>
    </row>
    <row r="503" spans="1:4">
      <c r="A503" s="5"/>
      <c r="B503" s="5"/>
      <c r="C503" s="5"/>
      <c r="D503" s="5"/>
    </row>
    <row r="504" spans="1:4">
      <c r="A504" s="5"/>
      <c r="B504" s="5"/>
      <c r="C504" s="5"/>
      <c r="D504" s="5"/>
    </row>
    <row r="505" spans="1:4">
      <c r="A505" s="5"/>
      <c r="B505" s="5"/>
      <c r="C505" s="5"/>
      <c r="D505" s="5"/>
    </row>
    <row r="506" spans="1:4">
      <c r="A506" s="5"/>
      <c r="B506" s="5"/>
      <c r="C506" s="5"/>
      <c r="D506" s="5"/>
    </row>
    <row r="507" spans="1:4">
      <c r="A507" s="5"/>
      <c r="B507" s="5"/>
      <c r="C507" s="5"/>
      <c r="D507" s="5"/>
    </row>
    <row r="508" spans="1:4">
      <c r="A508" s="5"/>
      <c r="B508" s="5"/>
      <c r="C508" s="5"/>
      <c r="D508" s="5"/>
    </row>
    <row r="509" spans="1:4">
      <c r="A509" s="5"/>
      <c r="B509" s="5"/>
      <c r="C509" s="5"/>
      <c r="D509" s="5"/>
    </row>
    <row r="510" spans="1:4">
      <c r="A510" s="5"/>
      <c r="B510" s="5"/>
      <c r="C510" s="5"/>
      <c r="D510" s="5"/>
    </row>
    <row r="511" spans="1:4">
      <c r="A511" s="5"/>
      <c r="B511" s="5"/>
      <c r="C511" s="5"/>
      <c r="D511" s="5"/>
    </row>
    <row r="512" spans="1:4">
      <c r="A512" s="5"/>
      <c r="B512" s="5"/>
      <c r="C512" s="5"/>
      <c r="D512" s="5"/>
    </row>
    <row r="513" spans="1:4">
      <c r="A513" s="5"/>
      <c r="B513" s="5"/>
      <c r="C513" s="5"/>
      <c r="D513" s="5"/>
    </row>
    <row r="514" spans="1:4">
      <c r="A514" s="5"/>
      <c r="B514" s="5"/>
      <c r="C514" s="5"/>
      <c r="D514" s="5"/>
    </row>
    <row r="515" spans="1:4">
      <c r="A515" s="5"/>
      <c r="B515" s="5"/>
      <c r="C515" s="5"/>
      <c r="D515" s="5"/>
    </row>
    <row r="516" spans="1:4">
      <c r="A516" s="5"/>
      <c r="B516" s="5"/>
      <c r="C516" s="5"/>
      <c r="D516" s="5"/>
    </row>
    <row r="517" spans="1:4">
      <c r="A517" s="5"/>
      <c r="B517" s="5"/>
      <c r="C517" s="5"/>
      <c r="D517" s="5"/>
    </row>
    <row r="518" spans="1:4">
      <c r="A518" s="5"/>
      <c r="B518" s="5"/>
      <c r="C518" s="5"/>
      <c r="D518" s="5"/>
    </row>
    <row r="519" spans="1:4">
      <c r="A519" s="5"/>
      <c r="B519" s="5"/>
      <c r="C519" s="5"/>
      <c r="D519" s="5"/>
    </row>
    <row r="520" spans="1:4">
      <c r="A520" s="5"/>
      <c r="B520" s="5"/>
      <c r="C520" s="5"/>
      <c r="D520" s="5"/>
    </row>
    <row r="521" spans="1:4">
      <c r="A521" s="5"/>
      <c r="B521" s="5"/>
      <c r="C521" s="5"/>
      <c r="D521" s="5"/>
    </row>
    <row r="522" spans="1:4">
      <c r="A522" s="5"/>
      <c r="B522" s="5"/>
      <c r="C522" s="5"/>
      <c r="D522" s="5"/>
    </row>
    <row r="523" spans="1:4">
      <c r="A523" s="5"/>
      <c r="B523" s="5"/>
      <c r="C523" s="5"/>
      <c r="D523" s="5"/>
    </row>
    <row r="524" spans="1:4">
      <c r="A524" s="5"/>
      <c r="B524" s="5"/>
      <c r="C524" s="5"/>
      <c r="D524" s="5"/>
    </row>
    <row r="525" spans="1:4">
      <c r="A525" s="5"/>
      <c r="B525" s="5"/>
      <c r="C525" s="5"/>
      <c r="D525" s="5"/>
    </row>
    <row r="526" spans="1:4">
      <c r="A526" s="5"/>
      <c r="B526" s="5"/>
      <c r="C526" s="5"/>
      <c r="D526" s="5"/>
    </row>
    <row r="527" spans="1:4">
      <c r="A527" s="5"/>
      <c r="B527" s="5"/>
      <c r="C527" s="5"/>
      <c r="D527" s="5"/>
    </row>
    <row r="528" spans="1:4">
      <c r="A528" s="5"/>
      <c r="B528" s="5"/>
      <c r="C528" s="5"/>
      <c r="D528" s="5"/>
    </row>
    <row r="529" spans="1:4">
      <c r="A529" s="5"/>
      <c r="B529" s="5"/>
      <c r="C529" s="5"/>
      <c r="D529" s="5"/>
    </row>
    <row r="530" spans="1:4">
      <c r="A530" s="5"/>
      <c r="B530" s="5"/>
      <c r="C530" s="5"/>
      <c r="D530" s="5"/>
    </row>
    <row r="531" spans="1:4">
      <c r="A531" s="5"/>
      <c r="B531" s="5"/>
      <c r="C531" s="5"/>
      <c r="D531" s="5"/>
    </row>
    <row r="532" spans="1:4">
      <c r="A532" s="5"/>
      <c r="B532" s="5"/>
      <c r="C532" s="5"/>
      <c r="D532" s="5"/>
    </row>
    <row r="533" spans="1:4">
      <c r="A533" s="5"/>
      <c r="B533" s="5"/>
      <c r="C533" s="5"/>
      <c r="D533" s="5"/>
    </row>
    <row r="534" spans="1:4">
      <c r="A534" s="5"/>
      <c r="B534" s="5"/>
      <c r="C534" s="5"/>
      <c r="D534" s="5"/>
    </row>
    <row r="535" spans="1:4">
      <c r="A535" s="5"/>
      <c r="B535" s="5"/>
      <c r="C535" s="5"/>
      <c r="D535" s="5"/>
    </row>
    <row r="536" spans="1:4">
      <c r="A536" s="5"/>
      <c r="B536" s="5"/>
      <c r="C536" s="5"/>
      <c r="D536" s="5"/>
    </row>
    <row r="537" spans="1:4">
      <c r="A537" s="5"/>
      <c r="B537" s="5"/>
      <c r="C537" s="5"/>
      <c r="D537" s="5"/>
    </row>
    <row r="538" spans="1:4">
      <c r="A538" s="5"/>
      <c r="B538" s="5"/>
      <c r="C538" s="5"/>
      <c r="D538" s="5"/>
    </row>
    <row r="539" spans="1:4">
      <c r="A539" s="5"/>
      <c r="B539" s="5"/>
      <c r="C539" s="5"/>
      <c r="D539" s="5"/>
    </row>
    <row r="540" spans="1:4">
      <c r="A540" s="5"/>
      <c r="B540" s="5"/>
      <c r="C540" s="5"/>
      <c r="D540" s="5"/>
    </row>
    <row r="541" spans="1:4">
      <c r="A541" s="5"/>
      <c r="B541" s="5"/>
      <c r="C541" s="5"/>
      <c r="D541" s="5"/>
    </row>
    <row r="542" spans="1:4">
      <c r="A542" s="5"/>
      <c r="B542" s="5"/>
      <c r="C542" s="5"/>
      <c r="D542" s="5"/>
    </row>
    <row r="543" spans="1:4">
      <c r="A543" s="5"/>
      <c r="B543" s="5"/>
      <c r="C543" s="5"/>
      <c r="D543" s="5"/>
    </row>
    <row r="544" spans="1:4">
      <c r="A544" s="5"/>
      <c r="B544" s="5"/>
      <c r="C544" s="5"/>
      <c r="D544" s="5"/>
    </row>
    <row r="545" spans="1:4">
      <c r="A545" s="5"/>
      <c r="B545" s="5"/>
      <c r="C545" s="5"/>
      <c r="D545" s="5"/>
    </row>
    <row r="546" spans="1:4">
      <c r="A546" s="5"/>
      <c r="B546" s="5"/>
      <c r="C546" s="5"/>
      <c r="D546" s="5"/>
    </row>
    <row r="547" spans="1:4">
      <c r="A547" s="5"/>
      <c r="B547" s="5"/>
      <c r="C547" s="5"/>
      <c r="D547" s="5"/>
    </row>
    <row r="548" spans="1:4">
      <c r="A548" s="5"/>
      <c r="B548" s="5"/>
      <c r="C548" s="5"/>
      <c r="D548" s="5"/>
    </row>
    <row r="549" spans="1:4">
      <c r="A549" s="5"/>
      <c r="B549" s="5"/>
      <c r="C549" s="5"/>
      <c r="D549" s="5"/>
    </row>
    <row r="550" spans="1:4">
      <c r="A550" s="5"/>
      <c r="B550" s="5"/>
      <c r="C550" s="5"/>
      <c r="D550" s="5"/>
    </row>
    <row r="551" spans="1:4">
      <c r="A551" s="5"/>
      <c r="B551" s="5"/>
      <c r="C551" s="5"/>
      <c r="D551" s="5"/>
    </row>
    <row r="552" spans="1:4">
      <c r="A552" s="5"/>
      <c r="B552" s="5"/>
      <c r="C552" s="5"/>
      <c r="D552" s="5"/>
    </row>
    <row r="553" spans="1:4">
      <c r="A553" s="5"/>
      <c r="B553" s="5"/>
      <c r="C553" s="5"/>
      <c r="D553" s="5"/>
    </row>
    <row r="554" spans="1:4">
      <c r="A554" s="5"/>
      <c r="B554" s="5"/>
      <c r="C554" s="5"/>
      <c r="D554" s="5"/>
    </row>
    <row r="555" spans="1:4">
      <c r="A555" s="5"/>
      <c r="B555" s="5"/>
      <c r="C555" s="5"/>
      <c r="D555" s="5"/>
    </row>
    <row r="556" spans="1:4">
      <c r="A556" s="5"/>
      <c r="B556" s="5"/>
      <c r="C556" s="5"/>
      <c r="D556" s="5"/>
    </row>
    <row r="557" spans="1:4">
      <c r="A557" s="5"/>
      <c r="B557" s="5"/>
      <c r="C557" s="5"/>
      <c r="D557" s="5"/>
    </row>
    <row r="558" spans="1:4">
      <c r="A558" s="5"/>
      <c r="B558" s="5"/>
      <c r="C558" s="5"/>
      <c r="D558" s="5"/>
    </row>
    <row r="559" spans="1:4">
      <c r="A559" s="5"/>
      <c r="B559" s="5"/>
      <c r="C559" s="5"/>
      <c r="D559" s="5"/>
    </row>
    <row r="560" spans="1:4">
      <c r="A560" s="5"/>
      <c r="B560" s="5"/>
      <c r="C560" s="5"/>
      <c r="D560" s="5"/>
    </row>
    <row r="561" spans="1:4">
      <c r="A561" s="5"/>
      <c r="B561" s="5"/>
      <c r="C561" s="5"/>
      <c r="D561" s="5"/>
    </row>
    <row r="562" spans="1:4">
      <c r="A562" s="5"/>
      <c r="B562" s="5"/>
      <c r="C562" s="5"/>
      <c r="D562" s="5"/>
    </row>
    <row r="563" spans="1:4">
      <c r="A563" s="5"/>
      <c r="B563" s="5"/>
      <c r="C563" s="5"/>
      <c r="D563" s="5"/>
    </row>
    <row r="564" spans="1:4">
      <c r="A564" s="5"/>
      <c r="B564" s="5"/>
      <c r="C564" s="5"/>
      <c r="D564" s="5"/>
    </row>
    <row r="565" spans="1:4">
      <c r="A565" s="5"/>
      <c r="B565" s="5"/>
      <c r="C565" s="5"/>
      <c r="D565" s="5"/>
    </row>
    <row r="566" spans="1:4">
      <c r="A566" s="5"/>
      <c r="B566" s="5"/>
      <c r="C566" s="5"/>
      <c r="D566" s="5"/>
    </row>
    <row r="567" spans="1:4">
      <c r="A567" s="5"/>
      <c r="B567" s="5"/>
      <c r="C567" s="5"/>
      <c r="D567" s="5"/>
    </row>
    <row r="568" spans="1:4">
      <c r="A568" s="5"/>
      <c r="B568" s="5"/>
      <c r="C568" s="5"/>
      <c r="D568" s="5"/>
    </row>
    <row r="569" spans="1:4">
      <c r="A569" s="5"/>
      <c r="B569" s="5"/>
      <c r="C569" s="5"/>
      <c r="D569" s="5"/>
    </row>
    <row r="570" spans="1:4">
      <c r="A570" s="5"/>
      <c r="B570" s="5"/>
      <c r="C570" s="5"/>
      <c r="D570" s="5"/>
    </row>
    <row r="571" spans="1:4">
      <c r="A571" s="5"/>
      <c r="B571" s="5"/>
      <c r="C571" s="5"/>
      <c r="D571" s="5"/>
    </row>
    <row r="572" spans="1:4">
      <c r="A572" s="5"/>
      <c r="B572" s="5"/>
      <c r="C572" s="5"/>
      <c r="D572" s="5"/>
    </row>
    <row r="573" spans="1:4">
      <c r="A573" s="5"/>
      <c r="B573" s="5"/>
      <c r="C573" s="5"/>
      <c r="D573" s="5"/>
    </row>
    <row r="574" spans="1:4">
      <c r="A574" s="5"/>
      <c r="B574" s="5"/>
      <c r="C574" s="5"/>
      <c r="D574" s="5"/>
    </row>
    <row r="575" spans="1:4">
      <c r="A575" s="5"/>
      <c r="B575" s="5"/>
      <c r="C575" s="5"/>
      <c r="D575" s="5"/>
    </row>
    <row r="576" spans="1:4">
      <c r="A576" s="5"/>
      <c r="B576" s="5"/>
      <c r="C576" s="5"/>
      <c r="D576" s="5"/>
    </row>
    <row r="577" spans="1:4">
      <c r="A577" s="5"/>
      <c r="B577" s="5"/>
      <c r="C577" s="5"/>
      <c r="D577" s="5"/>
    </row>
    <row r="578" spans="1:4">
      <c r="A578" s="5"/>
      <c r="B578" s="5"/>
      <c r="C578" s="5"/>
      <c r="D578" s="5"/>
    </row>
    <row r="579" spans="1:4">
      <c r="A579" s="5"/>
      <c r="B579" s="5"/>
      <c r="C579" s="5"/>
      <c r="D579" s="5"/>
    </row>
    <row r="580" spans="1:4">
      <c r="A580" s="5"/>
      <c r="B580" s="5"/>
      <c r="C580" s="5"/>
      <c r="D580" s="5"/>
    </row>
    <row r="581" spans="1:4">
      <c r="A581" s="5"/>
      <c r="B581" s="5"/>
      <c r="C581" s="5"/>
      <c r="D581" s="5"/>
    </row>
    <row r="582" spans="1:4">
      <c r="A582" s="5"/>
      <c r="B582" s="5"/>
      <c r="C582" s="5"/>
      <c r="D582" s="5"/>
    </row>
    <row r="583" spans="1:4">
      <c r="A583" s="5"/>
      <c r="B583" s="5"/>
      <c r="C583" s="5"/>
      <c r="D583" s="5"/>
    </row>
    <row r="584" spans="1:4">
      <c r="A584" s="5"/>
      <c r="B584" s="5"/>
      <c r="C584" s="5"/>
      <c r="D584" s="5"/>
    </row>
    <row r="585" spans="1:4">
      <c r="A585" s="5"/>
      <c r="B585" s="5"/>
      <c r="C585" s="5"/>
      <c r="D585" s="5"/>
    </row>
    <row r="586" spans="1:4">
      <c r="A586" s="5"/>
      <c r="B586" s="5"/>
      <c r="C586" s="5"/>
      <c r="D586" s="5"/>
    </row>
    <row r="587" spans="1:4">
      <c r="A587" s="5"/>
      <c r="B587" s="5"/>
      <c r="C587" s="5"/>
      <c r="D587" s="5"/>
    </row>
    <row r="588" spans="1:4">
      <c r="A588" s="5"/>
      <c r="B588" s="5"/>
      <c r="C588" s="5"/>
      <c r="D588" s="5"/>
    </row>
    <row r="589" spans="1:4">
      <c r="A589" s="5"/>
      <c r="B589" s="5"/>
      <c r="C589" s="5"/>
      <c r="D589" s="5"/>
    </row>
    <row r="590" spans="1:4">
      <c r="A590" s="5"/>
      <c r="B590" s="5"/>
      <c r="C590" s="5"/>
      <c r="D590" s="5"/>
    </row>
    <row r="591" spans="1:4">
      <c r="A591" s="5"/>
      <c r="B591" s="5"/>
      <c r="C591" s="5"/>
      <c r="D591" s="5"/>
    </row>
    <row r="592" spans="1:4">
      <c r="A592" s="5"/>
      <c r="B592" s="5"/>
      <c r="C592" s="5"/>
      <c r="D592" s="5"/>
    </row>
    <row r="593" spans="1:4">
      <c r="A593" s="5"/>
      <c r="B593" s="5"/>
      <c r="C593" s="5"/>
      <c r="D593" s="5"/>
    </row>
    <row r="594" spans="1:4">
      <c r="A594" s="5"/>
      <c r="B594" s="5"/>
      <c r="C594" s="5"/>
      <c r="D594" s="5"/>
    </row>
    <row r="595" spans="1:4">
      <c r="A595" s="5"/>
      <c r="B595" s="5"/>
      <c r="C595" s="5"/>
      <c r="D595" s="5"/>
    </row>
    <row r="596" spans="1:4">
      <c r="A596" s="5"/>
      <c r="B596" s="5"/>
      <c r="C596" s="5"/>
      <c r="D596" s="5"/>
    </row>
    <row r="597" spans="1:4">
      <c r="A597" s="5"/>
      <c r="B597" s="5"/>
      <c r="C597" s="5"/>
      <c r="D597" s="5"/>
    </row>
    <row r="598" spans="1:4">
      <c r="A598" s="5"/>
      <c r="B598" s="5"/>
      <c r="C598" s="5"/>
      <c r="D598" s="5"/>
    </row>
    <row r="599" spans="1:4">
      <c r="A599" s="5"/>
      <c r="B599" s="5"/>
      <c r="C599" s="5"/>
      <c r="D599" s="5"/>
    </row>
    <row r="600" spans="1:4">
      <c r="A600" s="5"/>
      <c r="B600" s="5"/>
      <c r="C600" s="5"/>
      <c r="D600" s="5"/>
    </row>
    <row r="601" spans="1:4">
      <c r="A601" s="5"/>
      <c r="B601" s="5"/>
      <c r="C601" s="5"/>
      <c r="D601" s="5"/>
    </row>
    <row r="602" spans="1:4">
      <c r="A602" s="5"/>
      <c r="B602" s="5"/>
      <c r="C602" s="5"/>
      <c r="D602" s="5"/>
    </row>
    <row r="603" spans="1:4">
      <c r="A603" s="5"/>
      <c r="B603" s="5"/>
      <c r="C603" s="5"/>
      <c r="D603" s="5"/>
    </row>
    <row r="604" spans="1:4">
      <c r="A604" s="5"/>
      <c r="B604" s="5"/>
      <c r="C604" s="5"/>
      <c r="D604" s="5"/>
    </row>
    <row r="605" spans="1:4">
      <c r="A605" s="5"/>
      <c r="B605" s="5"/>
      <c r="C605" s="5"/>
      <c r="D605" s="5"/>
    </row>
    <row r="606" spans="1:4">
      <c r="A606" s="5"/>
      <c r="B606" s="5"/>
      <c r="C606" s="5"/>
      <c r="D606" s="5"/>
    </row>
    <row r="607" spans="1:4">
      <c r="A607" s="5"/>
      <c r="B607" s="5"/>
      <c r="C607" s="5"/>
      <c r="D607" s="5"/>
    </row>
    <row r="608" spans="1:4">
      <c r="A608" s="5"/>
      <c r="B608" s="5"/>
      <c r="C608" s="5"/>
      <c r="D608" s="5"/>
    </row>
    <row r="609" spans="1:4">
      <c r="A609" s="5"/>
      <c r="B609" s="5"/>
      <c r="C609" s="5"/>
      <c r="D609" s="5"/>
    </row>
    <row r="610" spans="1:4">
      <c r="A610" s="5"/>
      <c r="B610" s="5"/>
      <c r="C610" s="5"/>
      <c r="D610" s="5"/>
    </row>
    <row r="611" spans="1:4">
      <c r="A611" s="5"/>
      <c r="B611" s="5"/>
      <c r="C611" s="5"/>
      <c r="D611" s="5"/>
    </row>
    <row r="612" spans="1:4">
      <c r="A612" s="5"/>
      <c r="B612" s="5"/>
      <c r="C612" s="5"/>
      <c r="D612" s="5"/>
    </row>
    <row r="613" spans="1:4">
      <c r="A613" s="5"/>
      <c r="B613" s="5"/>
      <c r="C613" s="5"/>
      <c r="D613" s="5"/>
    </row>
    <row r="614" spans="1:4">
      <c r="A614" s="5"/>
      <c r="B614" s="5"/>
      <c r="C614" s="5"/>
      <c r="D614" s="5"/>
    </row>
    <row r="615" spans="1:4">
      <c r="A615" s="5"/>
      <c r="B615" s="5"/>
      <c r="C615" s="5"/>
      <c r="D615" s="5"/>
    </row>
    <row r="616" spans="1:4">
      <c r="A616" s="5"/>
      <c r="B616" s="5"/>
      <c r="C616" s="5"/>
      <c r="D616" s="5"/>
    </row>
    <row r="617" spans="1:4">
      <c r="A617" s="5"/>
      <c r="B617" s="5"/>
      <c r="C617" s="5"/>
      <c r="D617" s="5"/>
    </row>
    <row r="618" spans="1:4">
      <c r="A618" s="5"/>
      <c r="B618" s="5"/>
      <c r="C618" s="5"/>
      <c r="D618" s="5"/>
    </row>
    <row r="619" spans="1:4">
      <c r="A619" s="5"/>
      <c r="B619" s="5"/>
      <c r="C619" s="5"/>
      <c r="D619" s="5"/>
    </row>
    <row r="620" spans="1:4">
      <c r="A620" s="5"/>
      <c r="B620" s="5"/>
      <c r="C620" s="5"/>
      <c r="D620" s="5"/>
    </row>
    <row r="621" spans="1:4">
      <c r="A621" s="5"/>
      <c r="B621" s="5"/>
      <c r="C621" s="5"/>
      <c r="D621" s="5"/>
    </row>
    <row r="622" spans="1:4">
      <c r="A622" s="5"/>
      <c r="B622" s="5"/>
      <c r="C622" s="5"/>
      <c r="D622" s="5"/>
    </row>
    <row r="623" spans="1:4">
      <c r="A623" s="5"/>
      <c r="B623" s="5"/>
      <c r="C623" s="5"/>
      <c r="D623" s="5"/>
    </row>
    <row r="624" spans="1:4">
      <c r="A624" s="5"/>
      <c r="B624" s="5"/>
      <c r="C624" s="5"/>
      <c r="D624" s="5"/>
    </row>
    <row r="625" spans="1:4">
      <c r="A625" s="5"/>
      <c r="B625" s="5"/>
      <c r="C625" s="5"/>
      <c r="D625" s="5"/>
    </row>
    <row r="626" spans="1:4">
      <c r="A626" s="5"/>
      <c r="B626" s="5"/>
      <c r="C626" s="5"/>
      <c r="D626" s="5"/>
    </row>
    <row r="627" spans="1:4">
      <c r="A627" s="5"/>
      <c r="B627" s="5"/>
      <c r="C627" s="5"/>
      <c r="D627" s="5"/>
    </row>
    <row r="628" spans="1:4">
      <c r="A628" s="5"/>
      <c r="B628" s="5"/>
      <c r="C628" s="5"/>
      <c r="D628" s="5"/>
    </row>
    <row r="629" spans="1:4">
      <c r="A629" s="5"/>
      <c r="B629" s="5"/>
      <c r="C629" s="5"/>
      <c r="D629" s="5"/>
    </row>
    <row r="630" spans="1:4">
      <c r="A630" s="5"/>
      <c r="B630" s="5"/>
      <c r="C630" s="5"/>
      <c r="D630" s="5"/>
    </row>
    <row r="631" spans="1:4">
      <c r="A631" s="5"/>
      <c r="B631" s="5"/>
      <c r="C631" s="5"/>
      <c r="D631" s="5"/>
    </row>
    <row r="632" spans="1:4">
      <c r="A632" s="5"/>
      <c r="B632" s="5"/>
      <c r="C632" s="5"/>
      <c r="D632" s="5"/>
    </row>
    <row r="633" spans="1:4">
      <c r="A633" s="5"/>
      <c r="B633" s="5"/>
      <c r="C633" s="5"/>
      <c r="D633" s="5"/>
    </row>
    <row r="634" spans="1:4">
      <c r="A634" s="5"/>
      <c r="B634" s="5"/>
      <c r="C634" s="5"/>
      <c r="D634" s="5"/>
    </row>
    <row r="635" spans="1:4">
      <c r="A635" s="5"/>
      <c r="B635" s="5"/>
      <c r="C635" s="5"/>
      <c r="D635" s="5"/>
    </row>
    <row r="636" spans="1:4">
      <c r="A636" s="5"/>
      <c r="B636" s="5"/>
      <c r="C636" s="5"/>
      <c r="D636" s="5"/>
    </row>
    <row r="637" spans="1:4">
      <c r="A637" s="5"/>
      <c r="B637" s="5"/>
      <c r="C637" s="5"/>
      <c r="D637" s="5"/>
    </row>
    <row r="638" spans="1:4">
      <c r="A638" s="5"/>
      <c r="B638" s="5"/>
      <c r="C638" s="5"/>
      <c r="D638" s="5"/>
    </row>
    <row r="639" spans="1:4">
      <c r="A639" s="5"/>
      <c r="B639" s="5"/>
      <c r="C639" s="5"/>
      <c r="D639" s="5"/>
    </row>
    <row r="640" spans="1:4">
      <c r="A640" s="5"/>
      <c r="B640" s="5"/>
      <c r="C640" s="5"/>
      <c r="D640" s="5"/>
    </row>
    <row r="641" spans="1:4">
      <c r="A641" s="5"/>
      <c r="B641" s="5"/>
      <c r="C641" s="5"/>
      <c r="D641" s="5"/>
    </row>
    <row r="642" spans="1:4">
      <c r="A642" s="5"/>
      <c r="B642" s="5"/>
      <c r="C642" s="5"/>
      <c r="D642" s="5"/>
    </row>
    <row r="643" spans="1:4">
      <c r="A643" s="5"/>
      <c r="B643" s="5"/>
      <c r="C643" s="5"/>
      <c r="D643" s="5"/>
    </row>
    <row r="644" spans="1:4">
      <c r="A644" s="5"/>
      <c r="B644" s="5"/>
      <c r="C644" s="5"/>
      <c r="D644" s="5"/>
    </row>
    <row r="645" spans="1:4">
      <c r="A645" s="5"/>
      <c r="B645" s="5"/>
      <c r="C645" s="5"/>
      <c r="D645" s="5"/>
    </row>
    <row r="646" spans="1:4">
      <c r="A646" s="5"/>
      <c r="B646" s="5"/>
      <c r="C646" s="5"/>
      <c r="D646" s="5"/>
    </row>
    <row r="647" spans="1:4">
      <c r="A647" s="5"/>
      <c r="B647" s="5"/>
      <c r="C647" s="5"/>
      <c r="D647" s="5"/>
    </row>
    <row r="648" spans="1:4">
      <c r="A648" s="5"/>
      <c r="B648" s="5"/>
      <c r="C648" s="5"/>
      <c r="D648" s="5"/>
    </row>
    <row r="649" spans="1:4">
      <c r="A649" s="5"/>
      <c r="B649" s="5"/>
      <c r="C649" s="5"/>
      <c r="D649" s="5"/>
    </row>
    <row r="650" spans="1:4">
      <c r="A650" s="5"/>
      <c r="B650" s="5"/>
      <c r="C650" s="5"/>
      <c r="D650" s="5"/>
    </row>
    <row r="651" spans="1:4">
      <c r="A651" s="5"/>
      <c r="B651" s="5"/>
      <c r="C651" s="5"/>
      <c r="D651" s="5"/>
    </row>
    <row r="652" spans="1:4">
      <c r="A652" s="5"/>
      <c r="B652" s="5"/>
      <c r="C652" s="5"/>
      <c r="D652" s="5"/>
    </row>
    <row r="653" spans="1:4">
      <c r="A653" s="5"/>
      <c r="B653" s="5"/>
      <c r="C653" s="5"/>
      <c r="D653" s="5"/>
    </row>
    <row r="654" spans="1:4">
      <c r="A654" s="5"/>
      <c r="B654" s="5"/>
      <c r="C654" s="5"/>
      <c r="D654" s="5"/>
    </row>
    <row r="655" spans="1:4">
      <c r="A655" s="5"/>
      <c r="B655" s="5"/>
      <c r="C655" s="5"/>
      <c r="D655" s="5"/>
    </row>
    <row r="656" spans="1:4">
      <c r="A656" s="5"/>
      <c r="B656" s="5"/>
      <c r="C656" s="5"/>
      <c r="D656" s="5"/>
    </row>
    <row r="657" spans="1:4">
      <c r="A657" s="5"/>
      <c r="B657" s="5"/>
      <c r="C657" s="5"/>
      <c r="D657" s="5"/>
    </row>
    <row r="658" spans="1:4">
      <c r="A658" s="5"/>
      <c r="B658" s="5"/>
      <c r="C658" s="5"/>
      <c r="D658" s="5"/>
    </row>
    <row r="659" spans="1:4">
      <c r="A659" s="5"/>
      <c r="B659" s="5"/>
      <c r="C659" s="5"/>
      <c r="D659" s="5"/>
    </row>
    <row r="660" spans="1:4">
      <c r="A660" s="5"/>
      <c r="B660" s="5"/>
      <c r="C660" s="5"/>
      <c r="D660" s="5"/>
    </row>
    <row r="661" spans="1:4">
      <c r="A661" s="5"/>
      <c r="B661" s="5"/>
      <c r="C661" s="5"/>
      <c r="D661" s="5"/>
    </row>
    <row r="662" spans="1:4">
      <c r="A662" s="5"/>
      <c r="B662" s="5"/>
      <c r="C662" s="5"/>
      <c r="D662" s="5"/>
    </row>
    <row r="663" spans="1:4">
      <c r="A663" s="5"/>
      <c r="B663" s="5"/>
      <c r="C663" s="5"/>
      <c r="D663" s="5"/>
    </row>
    <row r="664" spans="1:4">
      <c r="A664" s="5"/>
      <c r="B664" s="5"/>
      <c r="C664" s="5"/>
      <c r="D664" s="5"/>
    </row>
    <row r="665" spans="1:4">
      <c r="A665" s="5"/>
      <c r="B665" s="5"/>
      <c r="C665" s="5"/>
      <c r="D665" s="5"/>
    </row>
    <row r="666" spans="1:4">
      <c r="A666" s="5"/>
      <c r="B666" s="5"/>
      <c r="C666" s="5"/>
      <c r="D666" s="5"/>
    </row>
    <row r="667" spans="1:4">
      <c r="A667" s="5"/>
      <c r="B667" s="5"/>
      <c r="C667" s="5"/>
      <c r="D667" s="5"/>
    </row>
    <row r="668" spans="1:4">
      <c r="A668" s="5"/>
      <c r="B668" s="5"/>
      <c r="C668" s="5"/>
      <c r="D668" s="5"/>
    </row>
    <row r="669" spans="1:4">
      <c r="A669" s="5"/>
      <c r="B669" s="5"/>
      <c r="C669" s="5"/>
      <c r="D669" s="5"/>
    </row>
    <row r="670" spans="1:4">
      <c r="A670" s="5"/>
      <c r="B670" s="5"/>
      <c r="C670" s="5"/>
      <c r="D670" s="5"/>
    </row>
    <row r="671" spans="1:4">
      <c r="A671" s="5"/>
      <c r="B671" s="5"/>
      <c r="C671" s="5"/>
      <c r="D671" s="5"/>
    </row>
    <row r="672" spans="1:4">
      <c r="A672" s="5"/>
      <c r="B672" s="5"/>
      <c r="C672" s="5"/>
      <c r="D672" s="5"/>
    </row>
    <row r="673" spans="1:4">
      <c r="A673" s="5"/>
      <c r="B673" s="5"/>
      <c r="C673" s="5"/>
      <c r="D673" s="5"/>
    </row>
    <row r="674" spans="1:4">
      <c r="A674" s="5"/>
      <c r="B674" s="5"/>
      <c r="C674" s="5"/>
      <c r="D674" s="5"/>
    </row>
    <row r="675" spans="1:4">
      <c r="A675" s="5"/>
      <c r="B675" s="5"/>
      <c r="C675" s="5"/>
      <c r="D675" s="5"/>
    </row>
    <row r="676" spans="1:4">
      <c r="A676" s="5"/>
      <c r="B676" s="5"/>
      <c r="C676" s="5"/>
      <c r="D676" s="5"/>
    </row>
    <row r="677" spans="1:4">
      <c r="A677" s="5"/>
      <c r="B677" s="5"/>
      <c r="C677" s="5"/>
      <c r="D677" s="5"/>
    </row>
    <row r="678" spans="1:4">
      <c r="A678" s="5"/>
      <c r="B678" s="5"/>
      <c r="C678" s="5"/>
      <c r="D678" s="5"/>
    </row>
    <row r="679" spans="1:4">
      <c r="A679" s="5"/>
      <c r="B679" s="5"/>
      <c r="C679" s="5"/>
      <c r="D679" s="5"/>
    </row>
    <row r="680" spans="1:4">
      <c r="A680" s="5"/>
      <c r="B680" s="5"/>
      <c r="C680" s="5"/>
      <c r="D680" s="5"/>
    </row>
    <row r="681" spans="1:4">
      <c r="A681" s="5"/>
      <c r="B681" s="5"/>
      <c r="C681" s="5"/>
      <c r="D681" s="5"/>
    </row>
    <row r="682" spans="1:4">
      <c r="A682" s="5"/>
      <c r="B682" s="5"/>
      <c r="C682" s="5"/>
      <c r="D682" s="5"/>
    </row>
    <row r="683" spans="1:4">
      <c r="A683" s="5"/>
      <c r="B683" s="5"/>
      <c r="C683" s="5"/>
      <c r="D683" s="5"/>
    </row>
    <row r="684" spans="1:4">
      <c r="A684" s="5"/>
      <c r="B684" s="5"/>
      <c r="C684" s="5"/>
      <c r="D684" s="5"/>
    </row>
    <row r="685" spans="1:4">
      <c r="A685" s="5"/>
      <c r="B685" s="5"/>
      <c r="C685" s="5"/>
      <c r="D685" s="5"/>
    </row>
    <row r="686" spans="1:4">
      <c r="A686" s="5"/>
      <c r="B686" s="5"/>
      <c r="C686" s="5"/>
      <c r="D686" s="5"/>
    </row>
    <row r="687" spans="1:4">
      <c r="A687" s="5"/>
      <c r="B687" s="5"/>
      <c r="C687" s="5"/>
      <c r="D687" s="5"/>
    </row>
    <row r="688" spans="1:4">
      <c r="A688" s="5"/>
      <c r="B688" s="5"/>
      <c r="C688" s="5"/>
      <c r="D688" s="5"/>
    </row>
    <row r="689" spans="1:4">
      <c r="A689" s="5"/>
      <c r="B689" s="5"/>
      <c r="C689" s="5"/>
      <c r="D689" s="5"/>
    </row>
    <row r="690" spans="1:4">
      <c r="A690" s="5"/>
      <c r="B690" s="5"/>
      <c r="C690" s="5"/>
      <c r="D690" s="5"/>
    </row>
    <row r="691" spans="1:4">
      <c r="A691" s="5"/>
      <c r="B691" s="5"/>
      <c r="C691" s="5"/>
      <c r="D691" s="5"/>
    </row>
    <row r="692" spans="1:4">
      <c r="A692" s="5"/>
      <c r="B692" s="5"/>
      <c r="C692" s="5"/>
      <c r="D692" s="5"/>
    </row>
    <row r="693" spans="1:4">
      <c r="A693" s="5"/>
      <c r="B693" s="5"/>
      <c r="C693" s="5"/>
      <c r="D693" s="5"/>
    </row>
    <row r="694" spans="1:4">
      <c r="A694" s="5"/>
      <c r="B694" s="5"/>
      <c r="C694" s="5"/>
      <c r="D694" s="5"/>
    </row>
    <row r="695" spans="1:4">
      <c r="A695" s="5"/>
      <c r="B695" s="5"/>
      <c r="C695" s="5"/>
      <c r="D695" s="5"/>
    </row>
    <row r="696" spans="1:4">
      <c r="A696" s="5"/>
      <c r="B696" s="5"/>
      <c r="C696" s="5"/>
      <c r="D696" s="5"/>
    </row>
    <row r="697" spans="1:4">
      <c r="A697" s="5"/>
      <c r="B697" s="5"/>
      <c r="C697" s="5"/>
      <c r="D697" s="5"/>
    </row>
    <row r="698" spans="1:4">
      <c r="A698" s="5"/>
      <c r="B698" s="5"/>
      <c r="C698" s="5"/>
      <c r="D698" s="5"/>
    </row>
    <row r="699" spans="1:4">
      <c r="A699" s="5"/>
      <c r="B699" s="5"/>
      <c r="C699" s="5"/>
      <c r="D699" s="5"/>
    </row>
    <row r="700" spans="1:4">
      <c r="A700" s="5"/>
      <c r="B700" s="5"/>
      <c r="C700" s="5"/>
      <c r="D700" s="5"/>
    </row>
    <row r="701" spans="1:4">
      <c r="A701" s="5"/>
      <c r="B701" s="5"/>
      <c r="C701" s="5"/>
      <c r="D701" s="5"/>
    </row>
    <row r="702" spans="1:4">
      <c r="A702" s="5"/>
      <c r="B702" s="5"/>
      <c r="C702" s="5"/>
      <c r="D702" s="5"/>
    </row>
    <row r="703" spans="1:4">
      <c r="A703" s="5"/>
      <c r="B703" s="5"/>
      <c r="C703" s="5"/>
      <c r="D703" s="5"/>
    </row>
    <row r="704" spans="1:4">
      <c r="A704" s="5"/>
      <c r="B704" s="5"/>
      <c r="C704" s="5"/>
      <c r="D704" s="5"/>
    </row>
    <row r="705" spans="1:4">
      <c r="A705" s="5"/>
      <c r="B705" s="5"/>
      <c r="C705" s="5"/>
      <c r="D705" s="5"/>
    </row>
    <row r="706" spans="1:4">
      <c r="A706" s="5"/>
      <c r="B706" s="5"/>
      <c r="C706" s="5"/>
      <c r="D706" s="5"/>
    </row>
    <row r="707" spans="1:4">
      <c r="A707" s="5"/>
      <c r="B707" s="5"/>
      <c r="C707" s="5"/>
      <c r="D707" s="5"/>
    </row>
    <row r="708" spans="1:4">
      <c r="A708" s="5"/>
      <c r="B708" s="5"/>
      <c r="C708" s="5"/>
      <c r="D708" s="5"/>
    </row>
    <row r="709" spans="1:4">
      <c r="A709" s="5"/>
      <c r="B709" s="5"/>
      <c r="C709" s="5"/>
      <c r="D709" s="5"/>
    </row>
    <row r="710" spans="1:4">
      <c r="A710" s="5"/>
      <c r="B710" s="5"/>
      <c r="C710" s="5"/>
      <c r="D710" s="5"/>
    </row>
    <row r="711" spans="1:4">
      <c r="A711" s="5"/>
      <c r="B711" s="5"/>
      <c r="C711" s="5"/>
      <c r="D711" s="5"/>
    </row>
    <row r="712" spans="1:4">
      <c r="A712" s="5"/>
      <c r="B712" s="5"/>
      <c r="C712" s="5"/>
      <c r="D712" s="5"/>
    </row>
    <row r="713" spans="1:4">
      <c r="A713" s="5"/>
      <c r="B713" s="5"/>
      <c r="C713" s="5"/>
      <c r="D713" s="5"/>
    </row>
    <row r="714" spans="1:4">
      <c r="A714" s="5"/>
      <c r="B714" s="5"/>
      <c r="C714" s="5"/>
      <c r="D714" s="5"/>
    </row>
    <row r="715" spans="1:4">
      <c r="A715" s="5"/>
      <c r="B715" s="5"/>
      <c r="C715" s="5"/>
      <c r="D715" s="5"/>
    </row>
    <row r="716" spans="1:4">
      <c r="A716" s="5"/>
      <c r="B716" s="5"/>
      <c r="C716" s="5"/>
      <c r="D716" s="5"/>
    </row>
    <row r="717" spans="1:4">
      <c r="A717" s="5"/>
      <c r="B717" s="5"/>
      <c r="C717" s="5"/>
      <c r="D717" s="5"/>
    </row>
    <row r="718" spans="1:4">
      <c r="A718" s="5"/>
      <c r="B718" s="5"/>
      <c r="C718" s="5"/>
      <c r="D718" s="5"/>
    </row>
    <row r="719" spans="1:4">
      <c r="A719" s="5"/>
      <c r="B719" s="5"/>
      <c r="C719" s="5"/>
      <c r="D719" s="5"/>
    </row>
    <row r="720" spans="1:4">
      <c r="A720" s="5"/>
      <c r="B720" s="5"/>
      <c r="C720" s="5"/>
      <c r="D720" s="5"/>
    </row>
    <row r="721" spans="1:4">
      <c r="A721" s="5"/>
      <c r="B721" s="5"/>
      <c r="C721" s="5"/>
      <c r="D721" s="5"/>
    </row>
    <row r="722" spans="1:4">
      <c r="A722" s="5"/>
      <c r="B722" s="5"/>
      <c r="C722" s="5"/>
      <c r="D722" s="5"/>
    </row>
    <row r="723" spans="1:4">
      <c r="A723" s="5"/>
      <c r="B723" s="5"/>
      <c r="C723" s="5"/>
      <c r="D723" s="5"/>
    </row>
    <row r="724" spans="1:4">
      <c r="A724" s="5"/>
      <c r="B724" s="5"/>
      <c r="C724" s="5"/>
      <c r="D724" s="5"/>
    </row>
    <row r="725" spans="1:4">
      <c r="A725" s="5"/>
      <c r="B725" s="5"/>
      <c r="C725" s="5"/>
      <c r="D725" s="5"/>
    </row>
    <row r="726" spans="1:4">
      <c r="A726" s="5"/>
      <c r="B726" s="5"/>
      <c r="C726" s="5"/>
      <c r="D726" s="5"/>
    </row>
    <row r="727" spans="1:4">
      <c r="A727" s="5"/>
      <c r="B727" s="5"/>
      <c r="C727" s="5"/>
      <c r="D727" s="5"/>
    </row>
    <row r="728" spans="1:4">
      <c r="A728" s="5"/>
      <c r="B728" s="5"/>
      <c r="C728" s="5"/>
      <c r="D728" s="5"/>
    </row>
    <row r="729" spans="1:4">
      <c r="A729" s="5"/>
      <c r="B729" s="5"/>
      <c r="C729" s="5"/>
      <c r="D729" s="5"/>
    </row>
    <row r="730" spans="1:4">
      <c r="A730" s="5"/>
      <c r="B730" s="5"/>
      <c r="C730" s="5"/>
      <c r="D730" s="5"/>
    </row>
    <row r="731" spans="1:4">
      <c r="A731" s="5"/>
      <c r="B731" s="5"/>
      <c r="C731" s="5"/>
      <c r="D731" s="5"/>
    </row>
    <row r="732" spans="1:4">
      <c r="A732" s="5"/>
      <c r="B732" s="5"/>
      <c r="C732" s="5"/>
      <c r="D732" s="5"/>
    </row>
    <row r="733" spans="1:4">
      <c r="A733" s="5"/>
      <c r="B733" s="5"/>
      <c r="C733" s="5"/>
      <c r="D733" s="5"/>
    </row>
    <row r="734" spans="1:4">
      <c r="A734" s="5"/>
      <c r="B734" s="5"/>
      <c r="C734" s="5"/>
      <c r="D734" s="5"/>
    </row>
    <row r="735" spans="1:4">
      <c r="A735" s="5"/>
      <c r="B735" s="5"/>
      <c r="C735" s="5"/>
      <c r="D735" s="5"/>
    </row>
    <row r="736" spans="1:4">
      <c r="A736" s="5"/>
      <c r="B736" s="5"/>
      <c r="C736" s="5"/>
      <c r="D736" s="5"/>
    </row>
    <row r="737" spans="1:4">
      <c r="A737" s="5"/>
      <c r="B737" s="5"/>
      <c r="C737" s="5"/>
      <c r="D737" s="5"/>
    </row>
    <row r="738" spans="1:4">
      <c r="A738" s="5"/>
      <c r="B738" s="5"/>
      <c r="C738" s="5"/>
      <c r="D738" s="5"/>
    </row>
    <row r="739" spans="1:4">
      <c r="A739" s="5"/>
      <c r="B739" s="5"/>
      <c r="C739" s="5"/>
      <c r="D739" s="5"/>
    </row>
    <row r="740" spans="1:4">
      <c r="A740" s="5"/>
      <c r="B740" s="5"/>
      <c r="C740" s="5"/>
      <c r="D740" s="5"/>
    </row>
    <row r="741" spans="1:4">
      <c r="A741" s="5"/>
      <c r="B741" s="5"/>
      <c r="C741" s="5"/>
      <c r="D741" s="5"/>
    </row>
    <row r="742" spans="1:4">
      <c r="A742" s="5"/>
      <c r="B742" s="5"/>
      <c r="C742" s="5"/>
      <c r="D742" s="5"/>
    </row>
    <row r="743" spans="1:4">
      <c r="A743" s="5"/>
      <c r="B743" s="5"/>
      <c r="C743" s="5"/>
      <c r="D743" s="5"/>
    </row>
    <row r="744" spans="1:4">
      <c r="A744" s="5"/>
      <c r="B744" s="5"/>
      <c r="C744" s="5"/>
      <c r="D744" s="5"/>
    </row>
    <row r="745" spans="1:4">
      <c r="A745" s="5"/>
      <c r="B745" s="5"/>
      <c r="C745" s="5"/>
      <c r="D745" s="5"/>
    </row>
    <row r="746" spans="1:4">
      <c r="A746" s="5"/>
      <c r="B746" s="5"/>
      <c r="C746" s="5"/>
      <c r="D746" s="5"/>
    </row>
    <row r="747" spans="1:4">
      <c r="A747" s="5"/>
      <c r="B747" s="5"/>
      <c r="C747" s="5"/>
      <c r="D747" s="5"/>
    </row>
    <row r="748" spans="1:4">
      <c r="A748" s="5"/>
      <c r="B748" s="5"/>
      <c r="C748" s="5"/>
      <c r="D748" s="5"/>
    </row>
    <row r="749" spans="1:4">
      <c r="A749" s="5"/>
      <c r="B749" s="5"/>
      <c r="C749" s="5"/>
      <c r="D749" s="5"/>
    </row>
    <row r="750" spans="1:4">
      <c r="A750" s="5"/>
      <c r="B750" s="5"/>
      <c r="C750" s="5"/>
      <c r="D750" s="5"/>
    </row>
    <row r="751" spans="1:4">
      <c r="A751" s="5"/>
      <c r="B751" s="5"/>
      <c r="C751" s="5"/>
      <c r="D751" s="5"/>
    </row>
    <row r="752" spans="1:4">
      <c r="A752" s="5"/>
      <c r="B752" s="5"/>
      <c r="C752" s="5"/>
      <c r="D752" s="5"/>
    </row>
    <row r="753" spans="1:4">
      <c r="A753" s="5"/>
      <c r="B753" s="5"/>
      <c r="C753" s="5"/>
      <c r="D753" s="5"/>
    </row>
    <row r="754" spans="1:4">
      <c r="A754" s="5"/>
      <c r="B754" s="5"/>
      <c r="C754" s="5"/>
      <c r="D754" s="5"/>
    </row>
    <row r="755" spans="1:4">
      <c r="A755" s="5"/>
      <c r="B755" s="5"/>
      <c r="C755" s="5"/>
      <c r="D755" s="5"/>
    </row>
    <row r="756" spans="1:4">
      <c r="A756" s="5"/>
      <c r="B756" s="5"/>
      <c r="C756" s="5"/>
      <c r="D756" s="5"/>
    </row>
    <row r="757" spans="1:4">
      <c r="A757" s="5"/>
      <c r="B757" s="5"/>
      <c r="C757" s="5"/>
      <c r="D757" s="5"/>
    </row>
    <row r="758" spans="1:4">
      <c r="A758" s="5"/>
      <c r="B758" s="5"/>
      <c r="C758" s="5"/>
      <c r="D758" s="5"/>
    </row>
    <row r="759" spans="1:4">
      <c r="A759" s="5"/>
      <c r="B759" s="5"/>
      <c r="C759" s="5"/>
      <c r="D759" s="5"/>
    </row>
    <row r="760" spans="1:4">
      <c r="A760" s="5"/>
      <c r="B760" s="5"/>
      <c r="C760" s="5"/>
      <c r="D760" s="5"/>
    </row>
    <row r="761" spans="1:4">
      <c r="A761" s="5"/>
      <c r="B761" s="5"/>
      <c r="C761" s="5"/>
      <c r="D761" s="5"/>
    </row>
    <row r="762" spans="1:4">
      <c r="A762" s="5"/>
      <c r="B762" s="5"/>
      <c r="C762" s="5"/>
      <c r="D762" s="5"/>
    </row>
    <row r="763" spans="1:4">
      <c r="A763" s="5"/>
      <c r="B763" s="5"/>
      <c r="C763" s="5"/>
      <c r="D763" s="5"/>
    </row>
    <row r="764" spans="1:4">
      <c r="A764" s="5"/>
      <c r="B764" s="5"/>
      <c r="C764" s="5"/>
      <c r="D764" s="5"/>
    </row>
    <row r="765" spans="1:4">
      <c r="A765" s="5"/>
      <c r="B765" s="5"/>
      <c r="C765" s="5"/>
      <c r="D765" s="5"/>
    </row>
    <row r="766" spans="1:4">
      <c r="A766" s="5"/>
      <c r="B766" s="5"/>
      <c r="C766" s="5"/>
      <c r="D766" s="5"/>
    </row>
    <row r="767" spans="1:4">
      <c r="A767" s="5"/>
      <c r="B767" s="5"/>
      <c r="C767" s="5"/>
      <c r="D767" s="5"/>
    </row>
    <row r="768" spans="1:4">
      <c r="A768" s="5"/>
      <c r="B768" s="5"/>
      <c r="C768" s="5"/>
      <c r="D768" s="5"/>
    </row>
    <row r="769" spans="1:4">
      <c r="A769" s="5"/>
      <c r="B769" s="5"/>
      <c r="C769" s="5"/>
      <c r="D769" s="5"/>
    </row>
    <row r="770" spans="1:4">
      <c r="A770" s="5"/>
      <c r="B770" s="5"/>
      <c r="C770" s="5"/>
      <c r="D770" s="5"/>
    </row>
    <row r="771" spans="1:4">
      <c r="A771" s="5"/>
      <c r="B771" s="5"/>
      <c r="C771" s="5"/>
      <c r="D771" s="5"/>
    </row>
    <row r="772" spans="1:4">
      <c r="A772" s="5"/>
      <c r="B772" s="5"/>
      <c r="C772" s="5"/>
      <c r="D772" s="5"/>
    </row>
    <row r="773" spans="1:4">
      <c r="A773" s="5"/>
      <c r="B773" s="5"/>
      <c r="C773" s="5"/>
      <c r="D773" s="5"/>
    </row>
    <row r="774" spans="1:4">
      <c r="A774" s="5"/>
      <c r="B774" s="5"/>
      <c r="C774" s="5"/>
      <c r="D774" s="5"/>
    </row>
    <row r="775" spans="1:4">
      <c r="A775" s="5"/>
      <c r="B775" s="5"/>
      <c r="C775" s="5"/>
      <c r="D775" s="5"/>
    </row>
    <row r="776" spans="1:4">
      <c r="A776" s="5"/>
      <c r="B776" s="5"/>
      <c r="C776" s="5"/>
      <c r="D776" s="5"/>
    </row>
    <row r="777" spans="1:4">
      <c r="A777" s="5"/>
      <c r="B777" s="5"/>
      <c r="C777" s="5"/>
      <c r="D777" s="5"/>
    </row>
    <row r="778" spans="1:4">
      <c r="A778" s="5"/>
      <c r="B778" s="5"/>
      <c r="C778" s="5"/>
      <c r="D778" s="5"/>
    </row>
    <row r="779" spans="1:4">
      <c r="A779" s="5"/>
      <c r="B779" s="5"/>
      <c r="C779" s="5"/>
      <c r="D779" s="5"/>
    </row>
    <row r="780" spans="1:4">
      <c r="A780" s="5"/>
      <c r="B780" s="5"/>
      <c r="C780" s="5"/>
      <c r="D780" s="5"/>
    </row>
    <row r="781" spans="1:4">
      <c r="A781" s="5"/>
      <c r="B781" s="5"/>
      <c r="C781" s="5"/>
      <c r="D781" s="5"/>
    </row>
    <row r="782" spans="1:4">
      <c r="A782" s="5"/>
      <c r="B782" s="5"/>
      <c r="C782" s="5"/>
      <c r="D782" s="5"/>
    </row>
    <row r="783" spans="1:4">
      <c r="A783" s="5"/>
      <c r="B783" s="5"/>
      <c r="C783" s="5"/>
      <c r="D783" s="5"/>
    </row>
    <row r="784" spans="1:4">
      <c r="A784" s="5"/>
      <c r="B784" s="5"/>
      <c r="C784" s="5"/>
      <c r="D784" s="5"/>
    </row>
    <row r="785" spans="1:4">
      <c r="A785" s="5"/>
      <c r="B785" s="5"/>
      <c r="C785" s="5"/>
      <c r="D785" s="5"/>
    </row>
    <row r="786" spans="1:4">
      <c r="A786" s="5"/>
      <c r="B786" s="5"/>
      <c r="C786" s="5"/>
      <c r="D786" s="5"/>
    </row>
    <row r="787" spans="1:4">
      <c r="A787" s="5"/>
      <c r="B787" s="5"/>
      <c r="C787" s="5"/>
      <c r="D787" s="5"/>
    </row>
    <row r="788" spans="1:4">
      <c r="A788" s="5"/>
      <c r="B788" s="5"/>
      <c r="C788" s="5"/>
      <c r="D788" s="5"/>
    </row>
    <row r="789" spans="1:4">
      <c r="A789" s="5"/>
      <c r="B789" s="5"/>
      <c r="C789" s="5"/>
      <c r="D789" s="5"/>
    </row>
    <row r="790" spans="1:4">
      <c r="A790" s="5"/>
      <c r="B790" s="5"/>
      <c r="C790" s="5"/>
      <c r="D790" s="5"/>
    </row>
    <row r="791" spans="1:4">
      <c r="A791" s="5"/>
      <c r="B791" s="5"/>
      <c r="C791" s="5"/>
      <c r="D791" s="5"/>
    </row>
    <row r="792" spans="1:4">
      <c r="A792" s="5"/>
      <c r="B792" s="5"/>
      <c r="C792" s="5"/>
      <c r="D792" s="5"/>
    </row>
    <row r="793" spans="1:4">
      <c r="A793" s="5"/>
      <c r="B793" s="5"/>
      <c r="C793" s="5"/>
      <c r="D793" s="5"/>
    </row>
    <row r="794" spans="1:4">
      <c r="A794" s="5"/>
      <c r="B794" s="5"/>
      <c r="C794" s="5"/>
      <c r="D794" s="5"/>
    </row>
    <row r="795" spans="1:4">
      <c r="A795" s="5"/>
      <c r="B795" s="5"/>
      <c r="C795" s="5"/>
      <c r="D795" s="5"/>
    </row>
    <row r="796" spans="1:4">
      <c r="A796" s="5"/>
      <c r="B796" s="5"/>
      <c r="C796" s="5"/>
      <c r="D796" s="5"/>
    </row>
    <row r="797" spans="1:4">
      <c r="A797" s="5"/>
      <c r="B797" s="5"/>
      <c r="C797" s="5"/>
      <c r="D797" s="5"/>
    </row>
    <row r="798" spans="1:4">
      <c r="A798" s="5"/>
      <c r="B798" s="5"/>
      <c r="C798" s="5"/>
      <c r="D798" s="5"/>
    </row>
    <row r="799" spans="1:4">
      <c r="A799" s="5"/>
      <c r="B799" s="5"/>
      <c r="C799" s="5"/>
      <c r="D799" s="5"/>
    </row>
    <row r="800" spans="1:4">
      <c r="A800" s="5"/>
      <c r="B800" s="5"/>
      <c r="C800" s="5"/>
      <c r="D800" s="5"/>
    </row>
    <row r="801" spans="1:4">
      <c r="A801" s="5"/>
      <c r="B801" s="5"/>
      <c r="C801" s="5"/>
      <c r="D801" s="5"/>
    </row>
    <row r="802" spans="1:4">
      <c r="A802" s="5"/>
      <c r="B802" s="5"/>
      <c r="C802" s="5"/>
      <c r="D802" s="5"/>
    </row>
    <row r="803" spans="1:4">
      <c r="A803" s="5"/>
      <c r="B803" s="5"/>
      <c r="C803" s="5"/>
      <c r="D803" s="5"/>
    </row>
    <row r="804" spans="1:4">
      <c r="A804" s="5"/>
      <c r="B804" s="5"/>
      <c r="C804" s="5"/>
      <c r="D804" s="5"/>
    </row>
    <row r="805" spans="1:4">
      <c r="A805" s="5"/>
      <c r="B805" s="5"/>
      <c r="C805" s="5"/>
      <c r="D805" s="5"/>
    </row>
    <row r="806" spans="1:4">
      <c r="A806" s="5"/>
      <c r="B806" s="5"/>
      <c r="C806" s="5"/>
      <c r="D806" s="5"/>
    </row>
    <row r="807" spans="1:4">
      <c r="A807" s="5"/>
      <c r="B807" s="5"/>
      <c r="C807" s="5"/>
      <c r="D807" s="5"/>
    </row>
    <row r="808" spans="1:4">
      <c r="A808" s="5"/>
      <c r="B808" s="5"/>
      <c r="C808" s="5"/>
      <c r="D808" s="5"/>
    </row>
    <row r="809" spans="1:4">
      <c r="A809" s="5"/>
      <c r="B809" s="5"/>
      <c r="C809" s="5"/>
      <c r="D809" s="5"/>
    </row>
    <row r="810" spans="1:4">
      <c r="A810" s="5"/>
      <c r="B810" s="5"/>
      <c r="C810" s="5"/>
      <c r="D810" s="5"/>
    </row>
    <row r="811" spans="1:4">
      <c r="A811" s="5"/>
      <c r="B811" s="5"/>
      <c r="C811" s="5"/>
      <c r="D811" s="5"/>
    </row>
    <row r="812" spans="1:4">
      <c r="A812" s="5"/>
      <c r="B812" s="5"/>
      <c r="C812" s="5"/>
      <c r="D812" s="5"/>
    </row>
    <row r="813" spans="1:4">
      <c r="A813" s="5"/>
      <c r="B813" s="5"/>
      <c r="C813" s="5"/>
      <c r="D813" s="5"/>
    </row>
    <row r="814" spans="1:4">
      <c r="A814" s="5"/>
      <c r="B814" s="5"/>
      <c r="C814" s="5"/>
      <c r="D814" s="5"/>
    </row>
    <row r="815" spans="1:4">
      <c r="A815" s="5"/>
      <c r="B815" s="5"/>
      <c r="C815" s="5"/>
      <c r="D815" s="5"/>
    </row>
    <row r="816" spans="1:4">
      <c r="A816" s="5"/>
      <c r="B816" s="5"/>
      <c r="C816" s="5"/>
      <c r="D816" s="5"/>
    </row>
    <row r="817" spans="1:4">
      <c r="A817" s="5"/>
      <c r="B817" s="5"/>
      <c r="C817" s="5"/>
      <c r="D817" s="5"/>
    </row>
    <row r="818" spans="1:4">
      <c r="A818" s="5"/>
      <c r="B818" s="5"/>
      <c r="C818" s="5"/>
      <c r="D818" s="5"/>
    </row>
    <row r="819" spans="1:4">
      <c r="A819" s="5"/>
      <c r="B819" s="5"/>
      <c r="C819" s="5"/>
      <c r="D819" s="5"/>
    </row>
    <row r="820" spans="1:4">
      <c r="A820" s="5"/>
      <c r="B820" s="5"/>
      <c r="C820" s="5"/>
      <c r="D820" s="5"/>
    </row>
    <row r="821" spans="1:4">
      <c r="A821" s="5"/>
      <c r="B821" s="5"/>
      <c r="C821" s="5"/>
      <c r="D821" s="5"/>
    </row>
    <row r="822" spans="1:4">
      <c r="A822" s="5"/>
      <c r="B822" s="5"/>
      <c r="C822" s="5"/>
      <c r="D822" s="5"/>
    </row>
    <row r="823" spans="1:4">
      <c r="A823" s="5"/>
      <c r="B823" s="5"/>
      <c r="C823" s="5"/>
      <c r="D823" s="5"/>
    </row>
    <row r="824" spans="1:4">
      <c r="A824" s="5"/>
      <c r="B824" s="5"/>
      <c r="C824" s="5"/>
      <c r="D824" s="5"/>
    </row>
    <row r="825" spans="1:4">
      <c r="A825" s="5"/>
      <c r="B825" s="5"/>
      <c r="C825" s="5"/>
      <c r="D825" s="5"/>
    </row>
    <row r="826" spans="1:4">
      <c r="A826" s="5"/>
      <c r="B826" s="5"/>
      <c r="C826" s="5"/>
      <c r="D826" s="5"/>
    </row>
    <row r="827" spans="1:4">
      <c r="A827" s="5"/>
      <c r="B827" s="5"/>
      <c r="C827" s="5"/>
      <c r="D827" s="5"/>
    </row>
    <row r="828" spans="1:4">
      <c r="A828" s="5"/>
      <c r="B828" s="5"/>
      <c r="C828" s="5"/>
      <c r="D828" s="5"/>
    </row>
    <row r="829" spans="1:4">
      <c r="A829" s="5"/>
      <c r="B829" s="5"/>
      <c r="C829" s="5"/>
      <c r="D829" s="5"/>
    </row>
    <row r="830" spans="1:4">
      <c r="A830" s="5"/>
      <c r="B830" s="5"/>
      <c r="C830" s="5"/>
      <c r="D830" s="5"/>
    </row>
    <row r="831" spans="1:4">
      <c r="A831" s="5"/>
      <c r="B831" s="5"/>
      <c r="C831" s="5"/>
      <c r="D831" s="5"/>
    </row>
    <row r="832" spans="1:4">
      <c r="A832" s="5"/>
      <c r="B832" s="5"/>
      <c r="C832" s="5"/>
      <c r="D832" s="5"/>
    </row>
    <row r="833" spans="1:4">
      <c r="A833" s="5"/>
      <c r="B833" s="5"/>
      <c r="C833" s="5"/>
      <c r="D833" s="5"/>
    </row>
    <row r="834" spans="1:4">
      <c r="A834" s="5"/>
      <c r="B834" s="5"/>
      <c r="C834" s="5"/>
      <c r="D834" s="5"/>
    </row>
    <row r="835" spans="1:4">
      <c r="A835" s="5"/>
      <c r="B835" s="5"/>
      <c r="C835" s="5"/>
      <c r="D835" s="5"/>
    </row>
    <row r="836" spans="1:4">
      <c r="A836" s="5"/>
      <c r="B836" s="5"/>
      <c r="C836" s="5"/>
      <c r="D836" s="5"/>
    </row>
    <row r="837" spans="1:4">
      <c r="A837" s="5"/>
      <c r="B837" s="5"/>
      <c r="C837" s="5"/>
      <c r="D837" s="5"/>
    </row>
    <row r="838" spans="1:4">
      <c r="A838" s="5"/>
      <c r="B838" s="5"/>
      <c r="C838" s="5"/>
      <c r="D838" s="5"/>
    </row>
    <row r="839" spans="1:4">
      <c r="A839" s="5"/>
      <c r="B839" s="5"/>
      <c r="C839" s="5"/>
      <c r="D839" s="5"/>
    </row>
    <row r="840" spans="1:4">
      <c r="A840" s="5"/>
      <c r="B840" s="5"/>
      <c r="C840" s="5"/>
      <c r="D840" s="5"/>
    </row>
    <row r="841" spans="1:4">
      <c r="A841" s="5"/>
      <c r="B841" s="5"/>
      <c r="C841" s="5"/>
      <c r="D841" s="5"/>
    </row>
    <row r="842" spans="1:4">
      <c r="A842" s="5"/>
      <c r="B842" s="5"/>
      <c r="C842" s="5"/>
      <c r="D842" s="5"/>
    </row>
    <row r="843" spans="1:4">
      <c r="A843" s="5"/>
      <c r="B843" s="5"/>
      <c r="C843" s="5"/>
      <c r="D843" s="5"/>
    </row>
    <row r="844" spans="1:4">
      <c r="A844" s="5"/>
      <c r="B844" s="5"/>
      <c r="C844" s="5"/>
      <c r="D844" s="5"/>
    </row>
    <row r="845" spans="1:4">
      <c r="A845" s="5"/>
      <c r="B845" s="5"/>
      <c r="C845" s="5"/>
      <c r="D845" s="5"/>
    </row>
    <row r="846" spans="1:4">
      <c r="A846" s="5"/>
      <c r="B846" s="5"/>
      <c r="C846" s="5"/>
      <c r="D846" s="5"/>
    </row>
    <row r="847" spans="1:4">
      <c r="A847" s="5"/>
      <c r="B847" s="5"/>
      <c r="C847" s="5"/>
      <c r="D847" s="5"/>
    </row>
    <row r="848" spans="1:4">
      <c r="A848" s="5"/>
      <c r="B848" s="5"/>
      <c r="C848" s="5"/>
      <c r="D848" s="5"/>
    </row>
    <row r="849" spans="1:4">
      <c r="A849" s="5"/>
      <c r="B849" s="5"/>
      <c r="C849" s="5"/>
      <c r="D849" s="5"/>
    </row>
    <row r="850" spans="1:4">
      <c r="A850" s="5"/>
      <c r="B850" s="5"/>
      <c r="C850" s="5"/>
      <c r="D850" s="5"/>
    </row>
    <row r="851" spans="1:4">
      <c r="A851" s="5"/>
      <c r="B851" s="5"/>
      <c r="C851" s="5"/>
      <c r="D851" s="5"/>
    </row>
    <row r="852" spans="1:4">
      <c r="A852" s="5"/>
      <c r="B852" s="5"/>
      <c r="C852" s="5"/>
      <c r="D852" s="5"/>
    </row>
    <row r="853" spans="1:4">
      <c r="A853" s="5"/>
      <c r="B853" s="5"/>
      <c r="C853" s="5"/>
      <c r="D853" s="5"/>
    </row>
    <row r="854" spans="1:4">
      <c r="A854" s="5"/>
      <c r="B854" s="5"/>
      <c r="C854" s="5"/>
      <c r="D854" s="5"/>
    </row>
    <row r="855" spans="1:4">
      <c r="A855" s="5"/>
      <c r="B855" s="5"/>
      <c r="C855" s="5"/>
      <c r="D855" s="5"/>
    </row>
    <row r="856" spans="1:4">
      <c r="A856" s="5"/>
      <c r="B856" s="5"/>
      <c r="C856" s="5"/>
      <c r="D856" s="5"/>
    </row>
    <row r="857" spans="1:4">
      <c r="A857" s="5"/>
      <c r="B857" s="5"/>
      <c r="C857" s="5"/>
      <c r="D857" s="5"/>
    </row>
    <row r="858" spans="1:4">
      <c r="A858" s="5"/>
      <c r="B858" s="5"/>
      <c r="C858" s="5"/>
      <c r="D858" s="5"/>
    </row>
    <row r="859" spans="1:4">
      <c r="A859" s="5"/>
      <c r="B859" s="5"/>
      <c r="C859" s="5"/>
      <c r="D859" s="5"/>
    </row>
    <row r="860" spans="1:4">
      <c r="A860" s="5"/>
      <c r="B860" s="5"/>
      <c r="C860" s="5"/>
      <c r="D860" s="5"/>
    </row>
    <row r="861" spans="1:4">
      <c r="A861" s="5"/>
      <c r="B861" s="5"/>
      <c r="C861" s="5"/>
      <c r="D861" s="5"/>
    </row>
    <row r="862" spans="1:4">
      <c r="A862" s="5"/>
      <c r="B862" s="5"/>
      <c r="C862" s="5"/>
      <c r="D862" s="5"/>
    </row>
    <row r="863" spans="1:4">
      <c r="A863" s="5"/>
      <c r="B863" s="5"/>
      <c r="C863" s="5"/>
      <c r="D863" s="5"/>
    </row>
    <row r="864" spans="1:4">
      <c r="A864" s="5"/>
      <c r="B864" s="5"/>
      <c r="C864" s="5"/>
      <c r="D864" s="5"/>
    </row>
    <row r="865" spans="1:4">
      <c r="A865" s="5"/>
      <c r="B865" s="5"/>
      <c r="C865" s="5"/>
      <c r="D865" s="5"/>
    </row>
    <row r="866" spans="1:4">
      <c r="A866" s="5"/>
      <c r="B866" s="5"/>
      <c r="C866" s="5"/>
      <c r="D866" s="5"/>
    </row>
    <row r="867" spans="1:4">
      <c r="A867" s="5"/>
      <c r="B867" s="5"/>
      <c r="C867" s="5"/>
      <c r="D867" s="5"/>
    </row>
    <row r="868" spans="1:4">
      <c r="A868" s="5"/>
      <c r="B868" s="5"/>
      <c r="C868" s="5"/>
      <c r="D868" s="5"/>
    </row>
    <row r="869" spans="1:4">
      <c r="A869" s="5"/>
      <c r="B869" s="5"/>
      <c r="C869" s="5"/>
      <c r="D869" s="5"/>
    </row>
    <row r="870" spans="1:4">
      <c r="A870" s="5"/>
      <c r="B870" s="5"/>
      <c r="C870" s="5"/>
      <c r="D870" s="5"/>
    </row>
    <row r="871" spans="1:4">
      <c r="A871" s="5"/>
      <c r="B871" s="5"/>
      <c r="C871" s="5"/>
      <c r="D871" s="5"/>
    </row>
    <row r="872" spans="1:4">
      <c r="A872" s="5"/>
      <c r="B872" s="5"/>
      <c r="C872" s="5"/>
      <c r="D872" s="5"/>
    </row>
    <row r="873" spans="1:4">
      <c r="A873" s="5"/>
      <c r="B873" s="5"/>
      <c r="C873" s="5"/>
      <c r="D873" s="5"/>
    </row>
    <row r="874" spans="1:4">
      <c r="A874" s="5"/>
      <c r="B874" s="5"/>
      <c r="C874" s="5"/>
      <c r="D874" s="5"/>
    </row>
    <row r="875" spans="1:4">
      <c r="A875" s="5"/>
      <c r="B875" s="5"/>
      <c r="C875" s="5"/>
      <c r="D875" s="5"/>
    </row>
    <row r="876" spans="1:4">
      <c r="A876" s="5"/>
      <c r="B876" s="5"/>
      <c r="C876" s="5"/>
      <c r="D876" s="5"/>
    </row>
    <row r="877" spans="1:4">
      <c r="A877" s="5"/>
      <c r="B877" s="5"/>
      <c r="C877" s="5"/>
      <c r="D877" s="5"/>
    </row>
    <row r="878" spans="1:4">
      <c r="A878" s="5"/>
      <c r="B878" s="5"/>
      <c r="C878" s="5"/>
      <c r="D878" s="5"/>
    </row>
    <row r="879" spans="1:4">
      <c r="A879" s="5"/>
      <c r="B879" s="5"/>
      <c r="C879" s="5"/>
      <c r="D879" s="5"/>
    </row>
    <row r="880" spans="1:4">
      <c r="A880" s="5"/>
      <c r="B880" s="5"/>
      <c r="C880" s="5"/>
      <c r="D880" s="5"/>
    </row>
    <row r="881" spans="1:4">
      <c r="A881" s="5"/>
      <c r="B881" s="5"/>
      <c r="C881" s="5"/>
      <c r="D881" s="5"/>
    </row>
    <row r="882" spans="1:4">
      <c r="A882" s="5"/>
      <c r="B882" s="5"/>
      <c r="C882" s="5"/>
      <c r="D882" s="5"/>
    </row>
    <row r="883" spans="1:4">
      <c r="A883" s="5"/>
      <c r="B883" s="5"/>
      <c r="C883" s="5"/>
      <c r="D883" s="5"/>
    </row>
    <row r="884" spans="1:4">
      <c r="A884" s="5"/>
      <c r="B884" s="5"/>
      <c r="C884" s="5"/>
      <c r="D884" s="5"/>
    </row>
    <row r="885" spans="1:4">
      <c r="A885" s="5"/>
      <c r="B885" s="5"/>
      <c r="C885" s="5"/>
      <c r="D885" s="5"/>
    </row>
    <row r="886" spans="1:4">
      <c r="A886" s="5"/>
      <c r="B886" s="5"/>
      <c r="C886" s="5"/>
      <c r="D886" s="5"/>
    </row>
    <row r="887" spans="1:4">
      <c r="A887" s="5"/>
      <c r="B887" s="5"/>
      <c r="C887" s="5"/>
      <c r="D887" s="5"/>
    </row>
    <row r="888" spans="1:4">
      <c r="A888" s="5"/>
      <c r="B888" s="5"/>
      <c r="C888" s="5"/>
      <c r="D888" s="5"/>
    </row>
    <row r="889" spans="1:4">
      <c r="A889" s="5"/>
      <c r="B889" s="5"/>
      <c r="C889" s="5"/>
      <c r="D889" s="5"/>
    </row>
    <row r="890" spans="1:4">
      <c r="A890" s="5"/>
      <c r="B890" s="5"/>
      <c r="C890" s="5"/>
      <c r="D890" s="5"/>
    </row>
    <row r="891" spans="1:4">
      <c r="A891" s="5"/>
      <c r="B891" s="5"/>
      <c r="C891" s="5"/>
      <c r="D891" s="5"/>
    </row>
    <row r="892" spans="1:4">
      <c r="A892" s="5"/>
      <c r="B892" s="5"/>
      <c r="C892" s="5"/>
      <c r="D892" s="5"/>
    </row>
    <row r="893" spans="1:4">
      <c r="A893" s="5"/>
      <c r="B893" s="5"/>
      <c r="C893" s="5"/>
      <c r="D893" s="5"/>
    </row>
    <row r="894" spans="1:4">
      <c r="A894" s="5"/>
      <c r="B894" s="5"/>
      <c r="C894" s="5"/>
      <c r="D894" s="5"/>
    </row>
    <row r="895" spans="1:4">
      <c r="A895" s="5"/>
      <c r="B895" s="5"/>
      <c r="C895" s="5"/>
      <c r="D895" s="5"/>
    </row>
    <row r="896" spans="1:4">
      <c r="A896" s="5"/>
      <c r="B896" s="5"/>
      <c r="C896" s="5"/>
      <c r="D896" s="5"/>
    </row>
    <row r="897" spans="1:4">
      <c r="A897" s="5"/>
      <c r="B897" s="5"/>
      <c r="C897" s="5"/>
      <c r="D897" s="5"/>
    </row>
    <row r="898" spans="1:4">
      <c r="A898" s="5"/>
      <c r="B898" s="5"/>
      <c r="C898" s="5"/>
      <c r="D898" s="5"/>
    </row>
    <row r="899" spans="1:4">
      <c r="A899" s="5"/>
      <c r="B899" s="5"/>
      <c r="C899" s="5"/>
      <c r="D899" s="5"/>
    </row>
    <row r="900" spans="1:4">
      <c r="A900" s="5"/>
      <c r="B900" s="5"/>
      <c r="C900" s="5"/>
      <c r="D900" s="5"/>
    </row>
    <row r="901" spans="1:4">
      <c r="A901" s="5"/>
      <c r="B901" s="5"/>
      <c r="C901" s="5"/>
      <c r="D901" s="5"/>
    </row>
    <row r="902" spans="1:4">
      <c r="A902" s="5"/>
      <c r="B902" s="5"/>
      <c r="C902" s="5"/>
      <c r="D902" s="5"/>
    </row>
    <row r="903" spans="1:4">
      <c r="A903" s="5"/>
      <c r="B903" s="5"/>
      <c r="C903" s="5"/>
      <c r="D903" s="5"/>
    </row>
    <row r="904" spans="1:4">
      <c r="A904" s="5"/>
      <c r="B904" s="5"/>
      <c r="C904" s="5"/>
      <c r="D904" s="5"/>
    </row>
    <row r="905" spans="1:4">
      <c r="A905" s="5"/>
      <c r="B905" s="5"/>
      <c r="C905" s="5"/>
      <c r="D905" s="5"/>
    </row>
    <row r="906" spans="1:4">
      <c r="A906" s="5"/>
      <c r="B906" s="5"/>
      <c r="C906" s="5"/>
      <c r="D906" s="5"/>
    </row>
    <row r="907" spans="1:4">
      <c r="A907" s="5"/>
      <c r="B907" s="5"/>
      <c r="C907" s="5"/>
      <c r="D907" s="5"/>
    </row>
    <row r="908" spans="1:4">
      <c r="A908" s="5"/>
      <c r="B908" s="5"/>
      <c r="C908" s="5"/>
      <c r="D908" s="5"/>
    </row>
    <row r="909" spans="1:4">
      <c r="A909" s="5"/>
      <c r="B909" s="5"/>
      <c r="C909" s="5"/>
      <c r="D909" s="5"/>
    </row>
    <row r="910" spans="1:4">
      <c r="A910" s="5"/>
      <c r="B910" s="5"/>
      <c r="C910" s="5"/>
      <c r="D910" s="5"/>
    </row>
    <row r="911" spans="1:4">
      <c r="A911" s="5"/>
      <c r="B911" s="5"/>
      <c r="C911" s="5"/>
      <c r="D911" s="5"/>
    </row>
    <row r="912" spans="1:4">
      <c r="A912" s="5"/>
      <c r="B912" s="5"/>
      <c r="C912" s="5"/>
      <c r="D912" s="5"/>
    </row>
    <row r="913" spans="1:4">
      <c r="A913" s="5"/>
      <c r="B913" s="5"/>
      <c r="C913" s="5"/>
      <c r="D913" s="5"/>
    </row>
    <row r="914" spans="1:4">
      <c r="A914" s="5"/>
      <c r="B914" s="5"/>
      <c r="C914" s="5"/>
      <c r="D914" s="5"/>
    </row>
    <row r="915" spans="1:4">
      <c r="A915" s="5"/>
      <c r="B915" s="5"/>
      <c r="C915" s="5"/>
      <c r="D915" s="5"/>
    </row>
    <row r="916" spans="1:4">
      <c r="A916" s="5"/>
      <c r="B916" s="5"/>
      <c r="C916" s="5"/>
      <c r="D916" s="5"/>
    </row>
    <row r="917" spans="1:4">
      <c r="A917" s="5"/>
      <c r="B917" s="5"/>
      <c r="C917" s="5"/>
      <c r="D917" s="5"/>
    </row>
    <row r="918" spans="1:4">
      <c r="A918" s="5"/>
      <c r="B918" s="5"/>
      <c r="C918" s="5"/>
      <c r="D918" s="5"/>
    </row>
    <row r="919" spans="1:4">
      <c r="A919" s="5"/>
      <c r="B919" s="5"/>
      <c r="C919" s="5"/>
      <c r="D919" s="5"/>
    </row>
    <row r="920" spans="1:4">
      <c r="A920" s="5"/>
      <c r="B920" s="5"/>
      <c r="C920" s="5"/>
      <c r="D920" s="5"/>
    </row>
    <row r="921" spans="1:4">
      <c r="A921" s="5"/>
      <c r="B921" s="5"/>
      <c r="C921" s="5"/>
      <c r="D921" s="5"/>
    </row>
    <row r="922" spans="1:4">
      <c r="A922" s="5"/>
      <c r="B922" s="5"/>
      <c r="C922" s="5"/>
      <c r="D922" s="5"/>
    </row>
    <row r="923" spans="1:4">
      <c r="A923" s="5"/>
      <c r="B923" s="5"/>
      <c r="C923" s="5"/>
      <c r="D923" s="5"/>
    </row>
    <row r="924" spans="1:4">
      <c r="A924" s="5"/>
      <c r="B924" s="5"/>
      <c r="C924" s="5"/>
      <c r="D924" s="5"/>
    </row>
    <row r="925" spans="1:4">
      <c r="A925" s="5"/>
      <c r="B925" s="5"/>
      <c r="C925" s="5"/>
      <c r="D925" s="5"/>
    </row>
    <row r="926" spans="1:4">
      <c r="A926" s="5"/>
      <c r="B926" s="5"/>
      <c r="C926" s="5"/>
      <c r="D926" s="5"/>
    </row>
    <row r="927" spans="1:4">
      <c r="A927" s="5"/>
      <c r="B927" s="5"/>
      <c r="C927" s="5"/>
      <c r="D927" s="5"/>
    </row>
    <row r="928" spans="1:4">
      <c r="A928" s="5"/>
      <c r="B928" s="5"/>
      <c r="C928" s="5"/>
      <c r="D928" s="5"/>
    </row>
    <row r="929" spans="1:4">
      <c r="A929" s="5"/>
      <c r="B929" s="5"/>
      <c r="C929" s="5"/>
      <c r="D929" s="5"/>
    </row>
    <row r="930" spans="1:4">
      <c r="A930" s="5"/>
      <c r="B930" s="5"/>
      <c r="C930" s="5"/>
      <c r="D930" s="5"/>
    </row>
    <row r="931" spans="1:4">
      <c r="A931" s="5"/>
      <c r="B931" s="5"/>
      <c r="C931" s="5"/>
      <c r="D931" s="5"/>
    </row>
    <row r="932" spans="1:4">
      <c r="A932" s="5"/>
      <c r="B932" s="5"/>
      <c r="C932" s="5"/>
      <c r="D932" s="5"/>
    </row>
    <row r="933" spans="1:4">
      <c r="A933" s="5"/>
      <c r="B933" s="5"/>
      <c r="C933" s="5"/>
      <c r="D933" s="5"/>
    </row>
    <row r="934" spans="1:4">
      <c r="A934" s="5"/>
      <c r="B934" s="5"/>
      <c r="C934" s="5"/>
      <c r="D934" s="5"/>
    </row>
    <row r="935" spans="1:4">
      <c r="A935" s="5"/>
      <c r="B935" s="5"/>
      <c r="C935" s="5"/>
      <c r="D935" s="5"/>
    </row>
    <row r="936" spans="1:4">
      <c r="A936" s="5"/>
      <c r="B936" s="5"/>
      <c r="C936" s="5"/>
      <c r="D936" s="5"/>
    </row>
    <row r="937" spans="1:4">
      <c r="A937" s="5"/>
      <c r="B937" s="5"/>
      <c r="C937" s="5"/>
      <c r="D937" s="5"/>
    </row>
    <row r="938" spans="1:4">
      <c r="A938" s="5"/>
      <c r="B938" s="5"/>
      <c r="C938" s="5"/>
      <c r="D938" s="5"/>
    </row>
    <row r="939" spans="1:4">
      <c r="A939" s="5"/>
      <c r="B939" s="5"/>
      <c r="C939" s="5"/>
      <c r="D939" s="5"/>
    </row>
    <row r="940" spans="1:4">
      <c r="A940" s="5"/>
      <c r="B940" s="5"/>
      <c r="C940" s="5"/>
      <c r="D940" s="5"/>
    </row>
    <row r="941" spans="1:4">
      <c r="A941" s="5"/>
      <c r="B941" s="5"/>
      <c r="C941" s="5"/>
      <c r="D941" s="5"/>
    </row>
    <row r="942" spans="1:4">
      <c r="A942" s="5"/>
      <c r="B942" s="5"/>
      <c r="C942" s="5"/>
      <c r="D942" s="5"/>
    </row>
    <row r="943" spans="1:4">
      <c r="A943" s="5"/>
      <c r="B943" s="5"/>
      <c r="C943" s="5"/>
      <c r="D943" s="5"/>
    </row>
    <row r="944" spans="1:4">
      <c r="A944" s="5"/>
      <c r="B944" s="5"/>
      <c r="C944" s="5"/>
      <c r="D944" s="5"/>
    </row>
    <row r="945" spans="1:4">
      <c r="A945" s="5"/>
      <c r="B945" s="5"/>
      <c r="C945" s="5"/>
      <c r="D945" s="5"/>
    </row>
    <row r="946" spans="1:4">
      <c r="A946" s="5"/>
      <c r="B946" s="5"/>
      <c r="C946" s="5"/>
      <c r="D946" s="5"/>
    </row>
    <row r="947" spans="1:4">
      <c r="A947" s="5"/>
      <c r="B947" s="5"/>
      <c r="C947" s="5"/>
      <c r="D947" s="5"/>
    </row>
    <row r="948" spans="1:4">
      <c r="A948" s="5"/>
      <c r="B948" s="5"/>
      <c r="C948" s="5"/>
      <c r="D948" s="5"/>
    </row>
    <row r="949" spans="1:4">
      <c r="A949" s="5"/>
      <c r="B949" s="5"/>
      <c r="C949" s="5"/>
      <c r="D949" s="5"/>
    </row>
    <row r="950" spans="1:4">
      <c r="A950" s="5"/>
      <c r="B950" s="5"/>
      <c r="C950" s="5"/>
      <c r="D950" s="5"/>
    </row>
    <row r="951" spans="1:4">
      <c r="A951" s="5"/>
      <c r="B951" s="5"/>
      <c r="C951" s="5"/>
      <c r="D951" s="5"/>
    </row>
    <row r="952" spans="1:4">
      <c r="A952" s="5"/>
      <c r="B952" s="5"/>
      <c r="C952" s="5"/>
      <c r="D952" s="5"/>
    </row>
    <row r="953" spans="1:4">
      <c r="A953" s="5"/>
      <c r="B953" s="5"/>
      <c r="C953" s="5"/>
      <c r="D953" s="5"/>
    </row>
    <row r="954" spans="1:4">
      <c r="A954" s="5"/>
      <c r="B954" s="5"/>
      <c r="C954" s="5"/>
      <c r="D954" s="5"/>
    </row>
    <row r="955" spans="1:4">
      <c r="A955" s="5"/>
      <c r="B955" s="5"/>
      <c r="C955" s="5"/>
      <c r="D955" s="5"/>
    </row>
    <row r="956" spans="1:4">
      <c r="A956" s="5"/>
      <c r="B956" s="5"/>
      <c r="C956" s="5"/>
      <c r="D956" s="5"/>
    </row>
    <row r="957" spans="1:4">
      <c r="A957" s="5"/>
      <c r="B957" s="5"/>
      <c r="C957" s="5"/>
      <c r="D957" s="5"/>
    </row>
    <row r="958" spans="1:4">
      <c r="A958" s="5"/>
      <c r="B958" s="5"/>
      <c r="C958" s="5"/>
      <c r="D958" s="5"/>
    </row>
    <row r="959" spans="1:4">
      <c r="A959" s="5"/>
      <c r="B959" s="5"/>
      <c r="C959" s="5"/>
      <c r="D959" s="5"/>
    </row>
    <row r="960" spans="1:4">
      <c r="A960" s="5"/>
      <c r="B960" s="5"/>
      <c r="C960" s="5"/>
      <c r="D960" s="5"/>
    </row>
    <row r="961" spans="1:4">
      <c r="A961" s="5"/>
      <c r="B961" s="5"/>
      <c r="C961" s="5"/>
      <c r="D961" s="5"/>
    </row>
    <row r="962" spans="1:4">
      <c r="A962" s="5"/>
      <c r="B962" s="5"/>
      <c r="C962" s="5"/>
      <c r="D962" s="5"/>
    </row>
    <row r="963" spans="1:4">
      <c r="A963" s="5"/>
      <c r="B963" s="5"/>
      <c r="C963" s="5"/>
      <c r="D963" s="5"/>
    </row>
    <row r="964" spans="1:4">
      <c r="A964" s="5"/>
      <c r="B964" s="5"/>
      <c r="C964" s="5"/>
      <c r="D964" s="5"/>
    </row>
    <row r="965" spans="1:4">
      <c r="A965" s="5"/>
      <c r="B965" s="5"/>
      <c r="C965" s="5"/>
      <c r="D965" s="5"/>
    </row>
    <row r="966" spans="1:4">
      <c r="A966" s="5"/>
      <c r="B966" s="5"/>
      <c r="C966" s="5"/>
      <c r="D966" s="5"/>
    </row>
    <row r="967" spans="1:4">
      <c r="A967" s="5"/>
      <c r="B967" s="5"/>
      <c r="C967" s="5"/>
      <c r="D967" s="5"/>
    </row>
    <row r="968" spans="1:4">
      <c r="A968" s="5"/>
      <c r="B968" s="5"/>
      <c r="C968" s="5"/>
      <c r="D968" s="5"/>
    </row>
    <row r="969" spans="1:4">
      <c r="A969" s="5"/>
      <c r="B969" s="5"/>
      <c r="C969" s="5"/>
      <c r="D969" s="5"/>
    </row>
    <row r="970" spans="1:4">
      <c r="A970" s="5"/>
      <c r="B970" s="5"/>
      <c r="C970" s="5"/>
      <c r="D970" s="5"/>
    </row>
    <row r="971" spans="1:4">
      <c r="A971" s="5"/>
      <c r="B971" s="5"/>
      <c r="C971" s="5"/>
      <c r="D971" s="5"/>
    </row>
    <row r="972" spans="1:4">
      <c r="A972" s="5"/>
      <c r="B972" s="5"/>
      <c r="C972" s="5"/>
      <c r="D972" s="5"/>
    </row>
    <row r="973" spans="1:4">
      <c r="A973" s="5"/>
      <c r="B973" s="5"/>
      <c r="C973" s="5"/>
      <c r="D973" s="5"/>
    </row>
    <row r="974" spans="1:4">
      <c r="A974" s="5"/>
      <c r="B974" s="5"/>
      <c r="C974" s="5"/>
      <c r="D974" s="5"/>
    </row>
    <row r="975" spans="1:4">
      <c r="A975" s="5"/>
      <c r="B975" s="5"/>
      <c r="C975" s="5"/>
      <c r="D975" s="5"/>
    </row>
    <row r="976" spans="1:4">
      <c r="A976" s="5"/>
      <c r="B976" s="5"/>
      <c r="C976" s="5"/>
      <c r="D976" s="5"/>
    </row>
    <row r="977" spans="1:4">
      <c r="A977" s="5"/>
      <c r="B977" s="5"/>
      <c r="C977" s="5"/>
      <c r="D977" s="5"/>
    </row>
    <row r="978" spans="1:4">
      <c r="A978" s="5"/>
      <c r="B978" s="5"/>
      <c r="C978" s="5"/>
      <c r="D978" s="5"/>
    </row>
    <row r="979" spans="1:4">
      <c r="A979" s="5"/>
      <c r="B979" s="5"/>
      <c r="C979" s="5"/>
      <c r="D979" s="5"/>
    </row>
    <row r="980" spans="1:4">
      <c r="A980" s="5"/>
      <c r="B980" s="5"/>
      <c r="C980" s="5"/>
      <c r="D980" s="5"/>
    </row>
    <row r="981" spans="1:4">
      <c r="A981" s="5"/>
      <c r="B981" s="5"/>
      <c r="C981" s="5"/>
      <c r="D981" s="5"/>
    </row>
    <row r="982" spans="1:4">
      <c r="A982" s="5"/>
      <c r="B982" s="5"/>
      <c r="C982" s="5"/>
      <c r="D982" s="5"/>
    </row>
    <row r="983" spans="1:4">
      <c r="A983" s="5"/>
      <c r="B983" s="5"/>
      <c r="C983" s="5"/>
      <c r="D983" s="5"/>
    </row>
    <row r="984" spans="1:4">
      <c r="A984" s="5"/>
      <c r="B984" s="5"/>
      <c r="C984" s="5"/>
      <c r="D984" s="5"/>
    </row>
    <row r="985" spans="1:4">
      <c r="A985" s="5"/>
      <c r="B985" s="5"/>
      <c r="C985" s="5"/>
      <c r="D985" s="5"/>
    </row>
    <row r="986" spans="1:4">
      <c r="A986" s="5"/>
      <c r="B986" s="5"/>
      <c r="C986" s="5"/>
      <c r="D986" s="5"/>
    </row>
    <row r="987" spans="1:4">
      <c r="A987" s="5"/>
      <c r="B987" s="5"/>
      <c r="C987" s="5"/>
      <c r="D987" s="5"/>
    </row>
    <row r="988" spans="1:4">
      <c r="A988" s="5"/>
      <c r="B988" s="5"/>
      <c r="C988" s="5"/>
      <c r="D988" s="5"/>
    </row>
    <row r="989" spans="1:4">
      <c r="A989" s="5"/>
      <c r="B989" s="5"/>
      <c r="C989" s="5"/>
      <c r="D989" s="5"/>
    </row>
    <row r="990" spans="1:4">
      <c r="A990" s="5"/>
      <c r="B990" s="5"/>
      <c r="C990" s="5"/>
      <c r="D990" s="5"/>
    </row>
    <row r="991" spans="1:4">
      <c r="A991" s="5"/>
      <c r="B991" s="5"/>
      <c r="C991" s="5"/>
      <c r="D991" s="5"/>
    </row>
    <row r="992" spans="1:4">
      <c r="A992" s="5"/>
      <c r="B992" s="5"/>
      <c r="C992" s="5"/>
      <c r="D992" s="5"/>
    </row>
    <row r="993" spans="1:4">
      <c r="A993" s="5"/>
      <c r="B993" s="5"/>
      <c r="C993" s="5"/>
      <c r="D993" s="5"/>
    </row>
    <row r="994" spans="1:4">
      <c r="A994" s="5"/>
      <c r="B994" s="5"/>
      <c r="C994" s="5"/>
      <c r="D994" s="5"/>
    </row>
    <row r="995" spans="1:4">
      <c r="A995" s="5"/>
      <c r="B995" s="5"/>
      <c r="C995" s="5"/>
      <c r="D995" s="5"/>
    </row>
    <row r="996" spans="1:4">
      <c r="A996" s="5"/>
      <c r="B996" s="5"/>
      <c r="C996" s="5"/>
      <c r="D996" s="5"/>
    </row>
    <row r="997" spans="1:4">
      <c r="A997" s="5"/>
      <c r="B997" s="5"/>
      <c r="C997" s="5"/>
      <c r="D997" s="5"/>
    </row>
    <row r="998" spans="1:4">
      <c r="A998" s="5"/>
      <c r="B998" s="5"/>
      <c r="C998" s="5"/>
      <c r="D998" s="5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920D3-94FB-4606-BF59-0B056DF8E525}">
  <dimension ref="A1:B170"/>
  <sheetViews>
    <sheetView topLeftCell="A82" workbookViewId="0">
      <selection activeCell="A88" sqref="A88:A170"/>
    </sheetView>
  </sheetViews>
  <sheetFormatPr defaultRowHeight="15"/>
  <sheetData>
    <row r="1" spans="1:2">
      <c r="A1" t="s">
        <v>368</v>
      </c>
      <c r="B1" t="s">
        <v>365</v>
      </c>
    </row>
    <row r="2" spans="1:2">
      <c r="A2" t="s">
        <v>367</v>
      </c>
      <c r="B2" t="s">
        <v>193</v>
      </c>
    </row>
    <row r="3" spans="1:2">
      <c r="A3" t="s">
        <v>367</v>
      </c>
      <c r="B3" t="s">
        <v>194</v>
      </c>
    </row>
    <row r="4" spans="1:2">
      <c r="A4" t="s">
        <v>367</v>
      </c>
      <c r="B4" t="s">
        <v>195</v>
      </c>
    </row>
    <row r="5" spans="1:2">
      <c r="A5" t="s">
        <v>367</v>
      </c>
      <c r="B5" t="s">
        <v>196</v>
      </c>
    </row>
    <row r="6" spans="1:2">
      <c r="A6" t="s">
        <v>367</v>
      </c>
      <c r="B6" t="s">
        <v>197</v>
      </c>
    </row>
    <row r="7" spans="1:2">
      <c r="A7" t="s">
        <v>367</v>
      </c>
      <c r="B7" t="s">
        <v>198</v>
      </c>
    </row>
    <row r="8" spans="1:2">
      <c r="A8" t="s">
        <v>367</v>
      </c>
      <c r="B8" t="s">
        <v>199</v>
      </c>
    </row>
    <row r="9" spans="1:2">
      <c r="A9" t="s">
        <v>367</v>
      </c>
      <c r="B9" t="s">
        <v>200</v>
      </c>
    </row>
    <row r="10" spans="1:2">
      <c r="A10" t="s">
        <v>367</v>
      </c>
      <c r="B10" t="s">
        <v>201</v>
      </c>
    </row>
    <row r="11" spans="1:2">
      <c r="A11" t="s">
        <v>367</v>
      </c>
      <c r="B11" t="s">
        <v>202</v>
      </c>
    </row>
    <row r="12" spans="1:2">
      <c r="A12" t="s">
        <v>367</v>
      </c>
      <c r="B12" t="s">
        <v>203</v>
      </c>
    </row>
    <row r="13" spans="1:2">
      <c r="A13" t="s">
        <v>367</v>
      </c>
      <c r="B13" t="s">
        <v>204</v>
      </c>
    </row>
    <row r="14" spans="1:2">
      <c r="A14" t="s">
        <v>367</v>
      </c>
      <c r="B14" t="s">
        <v>205</v>
      </c>
    </row>
    <row r="15" spans="1:2">
      <c r="A15" t="s">
        <v>367</v>
      </c>
      <c r="B15" t="s">
        <v>206</v>
      </c>
    </row>
    <row r="16" spans="1:2">
      <c r="A16" t="s">
        <v>367</v>
      </c>
      <c r="B16" t="s">
        <v>207</v>
      </c>
    </row>
    <row r="17" spans="1:2">
      <c r="A17" t="s">
        <v>367</v>
      </c>
      <c r="B17" t="s">
        <v>208</v>
      </c>
    </row>
    <row r="18" spans="1:2">
      <c r="A18" t="s">
        <v>367</v>
      </c>
      <c r="B18" t="s">
        <v>209</v>
      </c>
    </row>
    <row r="19" spans="1:2">
      <c r="A19" t="s">
        <v>367</v>
      </c>
      <c r="B19" t="s">
        <v>210</v>
      </c>
    </row>
    <row r="20" spans="1:2">
      <c r="A20" t="s">
        <v>367</v>
      </c>
      <c r="B20" t="s">
        <v>211</v>
      </c>
    </row>
    <row r="21" spans="1:2">
      <c r="A21" t="s">
        <v>367</v>
      </c>
      <c r="B21" t="s">
        <v>212</v>
      </c>
    </row>
    <row r="22" spans="1:2">
      <c r="A22" t="s">
        <v>367</v>
      </c>
      <c r="B22" t="s">
        <v>178</v>
      </c>
    </row>
    <row r="23" spans="1:2">
      <c r="A23" t="s">
        <v>367</v>
      </c>
      <c r="B23" t="s">
        <v>213</v>
      </c>
    </row>
    <row r="24" spans="1:2">
      <c r="A24" t="s">
        <v>367</v>
      </c>
      <c r="B24" t="s">
        <v>214</v>
      </c>
    </row>
    <row r="25" spans="1:2">
      <c r="A25" t="s">
        <v>367</v>
      </c>
      <c r="B25" t="s">
        <v>215</v>
      </c>
    </row>
    <row r="26" spans="1:2">
      <c r="A26" t="s">
        <v>367</v>
      </c>
      <c r="B26" t="s">
        <v>216</v>
      </c>
    </row>
    <row r="27" spans="1:2">
      <c r="A27" t="s">
        <v>367</v>
      </c>
      <c r="B27" t="s">
        <v>217</v>
      </c>
    </row>
    <row r="28" spans="1:2">
      <c r="A28" t="s">
        <v>367</v>
      </c>
      <c r="B28" t="s">
        <v>218</v>
      </c>
    </row>
    <row r="29" spans="1:2">
      <c r="A29" t="s">
        <v>367</v>
      </c>
      <c r="B29" t="s">
        <v>219</v>
      </c>
    </row>
    <row r="30" spans="1:2">
      <c r="A30" t="s">
        <v>367</v>
      </c>
      <c r="B30" t="s">
        <v>220</v>
      </c>
    </row>
    <row r="31" spans="1:2">
      <c r="A31" t="s">
        <v>367</v>
      </c>
      <c r="B31" t="s">
        <v>221</v>
      </c>
    </row>
    <row r="32" spans="1:2">
      <c r="A32" t="s">
        <v>367</v>
      </c>
      <c r="B32" t="s">
        <v>222</v>
      </c>
    </row>
    <row r="33" spans="1:2">
      <c r="A33" t="s">
        <v>367</v>
      </c>
      <c r="B33" t="s">
        <v>223</v>
      </c>
    </row>
    <row r="34" spans="1:2">
      <c r="A34" t="s">
        <v>367</v>
      </c>
      <c r="B34" t="s">
        <v>224</v>
      </c>
    </row>
    <row r="35" spans="1:2">
      <c r="A35" t="s">
        <v>367</v>
      </c>
      <c r="B35" t="s">
        <v>225</v>
      </c>
    </row>
    <row r="36" spans="1:2">
      <c r="A36" t="s">
        <v>367</v>
      </c>
      <c r="B36" t="s">
        <v>226</v>
      </c>
    </row>
    <row r="37" spans="1:2">
      <c r="A37" t="s">
        <v>367</v>
      </c>
      <c r="B37" t="s">
        <v>227</v>
      </c>
    </row>
    <row r="38" spans="1:2">
      <c r="A38" t="s">
        <v>367</v>
      </c>
      <c r="B38" t="s">
        <v>228</v>
      </c>
    </row>
    <row r="39" spans="1:2">
      <c r="A39" t="s">
        <v>369</v>
      </c>
      <c r="B39" t="s">
        <v>229</v>
      </c>
    </row>
    <row r="40" spans="1:2">
      <c r="A40" t="s">
        <v>369</v>
      </c>
      <c r="B40" t="s">
        <v>231</v>
      </c>
    </row>
    <row r="41" spans="1:2">
      <c r="A41" t="s">
        <v>369</v>
      </c>
      <c r="B41" t="s">
        <v>233</v>
      </c>
    </row>
    <row r="42" spans="1:2">
      <c r="A42" t="s">
        <v>369</v>
      </c>
      <c r="B42" t="s">
        <v>235</v>
      </c>
    </row>
    <row r="43" spans="1:2">
      <c r="A43" t="s">
        <v>369</v>
      </c>
      <c r="B43" t="s">
        <v>237</v>
      </c>
    </row>
    <row r="44" spans="1:2">
      <c r="A44" t="s">
        <v>369</v>
      </c>
      <c r="B44" t="s">
        <v>239</v>
      </c>
    </row>
    <row r="45" spans="1:2">
      <c r="A45" t="s">
        <v>369</v>
      </c>
      <c r="B45" t="s">
        <v>241</v>
      </c>
    </row>
    <row r="46" spans="1:2">
      <c r="A46" t="s">
        <v>369</v>
      </c>
      <c r="B46" t="s">
        <v>243</v>
      </c>
    </row>
    <row r="47" spans="1:2">
      <c r="A47" t="s">
        <v>369</v>
      </c>
      <c r="B47" t="s">
        <v>245</v>
      </c>
    </row>
    <row r="48" spans="1:2">
      <c r="A48" t="s">
        <v>369</v>
      </c>
      <c r="B48" t="s">
        <v>247</v>
      </c>
    </row>
    <row r="49" spans="1:2">
      <c r="A49" t="s">
        <v>369</v>
      </c>
      <c r="B49" t="s">
        <v>249</v>
      </c>
    </row>
    <row r="50" spans="1:2">
      <c r="A50" t="s">
        <v>369</v>
      </c>
      <c r="B50" t="s">
        <v>251</v>
      </c>
    </row>
    <row r="51" spans="1:2">
      <c r="A51" t="s">
        <v>369</v>
      </c>
      <c r="B51" t="s">
        <v>253</v>
      </c>
    </row>
    <row r="52" spans="1:2">
      <c r="A52" t="s">
        <v>369</v>
      </c>
      <c r="B52" t="s">
        <v>255</v>
      </c>
    </row>
    <row r="53" spans="1:2">
      <c r="A53" t="s">
        <v>369</v>
      </c>
      <c r="B53" t="s">
        <v>257</v>
      </c>
    </row>
    <row r="54" spans="1:2">
      <c r="A54" t="s">
        <v>369</v>
      </c>
      <c r="B54" t="s">
        <v>259</v>
      </c>
    </row>
    <row r="55" spans="1:2">
      <c r="A55" t="s">
        <v>369</v>
      </c>
      <c r="B55" t="s">
        <v>261</v>
      </c>
    </row>
    <row r="56" spans="1:2">
      <c r="A56" t="s">
        <v>369</v>
      </c>
      <c r="B56" t="s">
        <v>263</v>
      </c>
    </row>
    <row r="57" spans="1:2">
      <c r="A57" t="s">
        <v>369</v>
      </c>
      <c r="B57" t="s">
        <v>265</v>
      </c>
    </row>
    <row r="58" spans="1:2">
      <c r="A58" t="s">
        <v>369</v>
      </c>
      <c r="B58" t="s">
        <v>267</v>
      </c>
    </row>
    <row r="59" spans="1:2">
      <c r="A59" t="s">
        <v>369</v>
      </c>
      <c r="B59" t="s">
        <v>269</v>
      </c>
    </row>
    <row r="60" spans="1:2">
      <c r="A60" t="s">
        <v>369</v>
      </c>
      <c r="B60" t="s">
        <v>271</v>
      </c>
    </row>
    <row r="61" spans="1:2">
      <c r="A61" t="s">
        <v>369</v>
      </c>
      <c r="B61" t="s">
        <v>273</v>
      </c>
    </row>
    <row r="62" spans="1:2">
      <c r="A62" t="s">
        <v>369</v>
      </c>
      <c r="B62" t="s">
        <v>275</v>
      </c>
    </row>
    <row r="63" spans="1:2">
      <c r="A63" t="s">
        <v>369</v>
      </c>
      <c r="B63" t="s">
        <v>277</v>
      </c>
    </row>
    <row r="64" spans="1:2">
      <c r="A64" t="s">
        <v>369</v>
      </c>
      <c r="B64" t="s">
        <v>279</v>
      </c>
    </row>
    <row r="65" spans="1:2">
      <c r="A65" t="s">
        <v>369</v>
      </c>
      <c r="B65" t="s">
        <v>281</v>
      </c>
    </row>
    <row r="66" spans="1:2">
      <c r="A66" t="s">
        <v>369</v>
      </c>
      <c r="B66" t="s">
        <v>283</v>
      </c>
    </row>
    <row r="67" spans="1:2">
      <c r="A67" t="s">
        <v>369</v>
      </c>
      <c r="B67" t="s">
        <v>285</v>
      </c>
    </row>
    <row r="68" spans="1:2">
      <c r="A68" t="s">
        <v>369</v>
      </c>
      <c r="B68" t="s">
        <v>287</v>
      </c>
    </row>
    <row r="69" spans="1:2">
      <c r="A69" t="s">
        <v>369</v>
      </c>
      <c r="B69" t="s">
        <v>289</v>
      </c>
    </row>
    <row r="70" spans="1:2">
      <c r="A70" t="s">
        <v>369</v>
      </c>
      <c r="B70" t="s">
        <v>291</v>
      </c>
    </row>
    <row r="71" spans="1:2">
      <c r="A71" t="s">
        <v>369</v>
      </c>
      <c r="B71" t="s">
        <v>293</v>
      </c>
    </row>
    <row r="72" spans="1:2">
      <c r="A72" t="s">
        <v>369</v>
      </c>
      <c r="B72" t="s">
        <v>295</v>
      </c>
    </row>
    <row r="73" spans="1:2">
      <c r="A73" t="s">
        <v>369</v>
      </c>
      <c r="B73" t="s">
        <v>297</v>
      </c>
    </row>
    <row r="74" spans="1:2">
      <c r="A74" t="s">
        <v>369</v>
      </c>
      <c r="B74" t="s">
        <v>299</v>
      </c>
    </row>
    <row r="75" spans="1:2">
      <c r="A75" t="s">
        <v>369</v>
      </c>
      <c r="B75" t="s">
        <v>301</v>
      </c>
    </row>
    <row r="76" spans="1:2">
      <c r="A76" t="s">
        <v>369</v>
      </c>
      <c r="B76" t="s">
        <v>303</v>
      </c>
    </row>
    <row r="77" spans="1:2">
      <c r="A77" t="s">
        <v>369</v>
      </c>
      <c r="B77" t="s">
        <v>305</v>
      </c>
    </row>
    <row r="78" spans="1:2">
      <c r="A78" t="s">
        <v>369</v>
      </c>
      <c r="B78" t="s">
        <v>307</v>
      </c>
    </row>
    <row r="79" spans="1:2">
      <c r="A79" t="s">
        <v>369</v>
      </c>
      <c r="B79" t="s">
        <v>309</v>
      </c>
    </row>
    <row r="80" spans="1:2">
      <c r="A80" t="s">
        <v>369</v>
      </c>
      <c r="B80" t="s">
        <v>311</v>
      </c>
    </row>
    <row r="81" spans="1:2">
      <c r="A81" t="s">
        <v>369</v>
      </c>
      <c r="B81" t="s">
        <v>313</v>
      </c>
    </row>
    <row r="82" spans="1:2">
      <c r="A82" t="s">
        <v>369</v>
      </c>
      <c r="B82" t="s">
        <v>315</v>
      </c>
    </row>
    <row r="83" spans="1:2">
      <c r="A83" t="s">
        <v>369</v>
      </c>
      <c r="B83" t="s">
        <v>317</v>
      </c>
    </row>
    <row r="84" spans="1:2">
      <c r="A84" t="s">
        <v>369</v>
      </c>
      <c r="B84" t="s">
        <v>319</v>
      </c>
    </row>
    <row r="85" spans="1:2">
      <c r="A85" t="s">
        <v>369</v>
      </c>
      <c r="B85" t="s">
        <v>321</v>
      </c>
    </row>
    <row r="86" spans="1:2">
      <c r="A86" t="s">
        <v>369</v>
      </c>
      <c r="B86" t="s">
        <v>323</v>
      </c>
    </row>
    <row r="87" spans="1:2">
      <c r="A87" t="s">
        <v>369</v>
      </c>
      <c r="B87" t="s">
        <v>325</v>
      </c>
    </row>
    <row r="88" spans="1:2">
      <c r="A88" t="s">
        <v>370</v>
      </c>
      <c r="B88" t="s">
        <v>230</v>
      </c>
    </row>
    <row r="89" spans="1:2">
      <c r="A89" t="s">
        <v>370</v>
      </c>
      <c r="B89" t="s">
        <v>232</v>
      </c>
    </row>
    <row r="90" spans="1:2">
      <c r="A90" t="s">
        <v>370</v>
      </c>
      <c r="B90" t="s">
        <v>234</v>
      </c>
    </row>
    <row r="91" spans="1:2">
      <c r="A91" t="s">
        <v>370</v>
      </c>
      <c r="B91" t="s">
        <v>236</v>
      </c>
    </row>
    <row r="92" spans="1:2">
      <c r="A92" t="s">
        <v>370</v>
      </c>
      <c r="B92" t="s">
        <v>238</v>
      </c>
    </row>
    <row r="93" spans="1:2">
      <c r="A93" t="s">
        <v>370</v>
      </c>
      <c r="B93" t="s">
        <v>240</v>
      </c>
    </row>
    <row r="94" spans="1:2">
      <c r="A94" t="s">
        <v>370</v>
      </c>
      <c r="B94" t="s">
        <v>242</v>
      </c>
    </row>
    <row r="95" spans="1:2">
      <c r="A95" t="s">
        <v>370</v>
      </c>
      <c r="B95" t="s">
        <v>244</v>
      </c>
    </row>
    <row r="96" spans="1:2">
      <c r="A96" t="s">
        <v>370</v>
      </c>
      <c r="B96" t="s">
        <v>246</v>
      </c>
    </row>
    <row r="97" spans="1:2">
      <c r="A97" t="s">
        <v>370</v>
      </c>
      <c r="B97" t="s">
        <v>248</v>
      </c>
    </row>
    <row r="98" spans="1:2">
      <c r="A98" t="s">
        <v>370</v>
      </c>
      <c r="B98" t="s">
        <v>250</v>
      </c>
    </row>
    <row r="99" spans="1:2">
      <c r="A99" t="s">
        <v>370</v>
      </c>
      <c r="B99" t="s">
        <v>252</v>
      </c>
    </row>
    <row r="100" spans="1:2">
      <c r="A100" t="s">
        <v>370</v>
      </c>
      <c r="B100" t="s">
        <v>254</v>
      </c>
    </row>
    <row r="101" spans="1:2">
      <c r="A101" t="s">
        <v>370</v>
      </c>
      <c r="B101" t="s">
        <v>256</v>
      </c>
    </row>
    <row r="102" spans="1:2">
      <c r="A102" t="s">
        <v>370</v>
      </c>
      <c r="B102" t="s">
        <v>258</v>
      </c>
    </row>
    <row r="103" spans="1:2">
      <c r="A103" t="s">
        <v>370</v>
      </c>
      <c r="B103" t="s">
        <v>260</v>
      </c>
    </row>
    <row r="104" spans="1:2">
      <c r="A104" t="s">
        <v>370</v>
      </c>
      <c r="B104" t="s">
        <v>262</v>
      </c>
    </row>
    <row r="105" spans="1:2">
      <c r="A105" t="s">
        <v>370</v>
      </c>
      <c r="B105" t="s">
        <v>264</v>
      </c>
    </row>
    <row r="106" spans="1:2">
      <c r="A106" t="s">
        <v>370</v>
      </c>
      <c r="B106" t="s">
        <v>266</v>
      </c>
    </row>
    <row r="107" spans="1:2">
      <c r="A107" t="s">
        <v>370</v>
      </c>
      <c r="B107" t="s">
        <v>268</v>
      </c>
    </row>
    <row r="108" spans="1:2">
      <c r="A108" t="s">
        <v>370</v>
      </c>
      <c r="B108" t="s">
        <v>270</v>
      </c>
    </row>
    <row r="109" spans="1:2">
      <c r="A109" t="s">
        <v>370</v>
      </c>
      <c r="B109" t="s">
        <v>272</v>
      </c>
    </row>
    <row r="110" spans="1:2">
      <c r="A110" t="s">
        <v>370</v>
      </c>
      <c r="B110" t="s">
        <v>274</v>
      </c>
    </row>
    <row r="111" spans="1:2">
      <c r="A111" t="s">
        <v>370</v>
      </c>
      <c r="B111" t="s">
        <v>276</v>
      </c>
    </row>
    <row r="112" spans="1:2">
      <c r="A112" t="s">
        <v>370</v>
      </c>
      <c r="B112" t="s">
        <v>278</v>
      </c>
    </row>
    <row r="113" spans="1:2">
      <c r="A113" t="s">
        <v>370</v>
      </c>
      <c r="B113" t="s">
        <v>280</v>
      </c>
    </row>
    <row r="114" spans="1:2">
      <c r="A114" t="s">
        <v>370</v>
      </c>
      <c r="B114" t="s">
        <v>282</v>
      </c>
    </row>
    <row r="115" spans="1:2">
      <c r="A115" t="s">
        <v>370</v>
      </c>
      <c r="B115" t="s">
        <v>284</v>
      </c>
    </row>
    <row r="116" spans="1:2">
      <c r="A116" t="s">
        <v>370</v>
      </c>
      <c r="B116" t="s">
        <v>286</v>
      </c>
    </row>
    <row r="117" spans="1:2">
      <c r="A117" t="s">
        <v>370</v>
      </c>
      <c r="B117" t="s">
        <v>288</v>
      </c>
    </row>
    <row r="118" spans="1:2">
      <c r="A118" t="s">
        <v>370</v>
      </c>
      <c r="B118" t="s">
        <v>290</v>
      </c>
    </row>
    <row r="119" spans="1:2">
      <c r="A119" t="s">
        <v>370</v>
      </c>
      <c r="B119" t="s">
        <v>292</v>
      </c>
    </row>
    <row r="120" spans="1:2">
      <c r="A120" t="s">
        <v>370</v>
      </c>
      <c r="B120" t="s">
        <v>294</v>
      </c>
    </row>
    <row r="121" spans="1:2">
      <c r="A121" t="s">
        <v>370</v>
      </c>
      <c r="B121" t="s">
        <v>296</v>
      </c>
    </row>
    <row r="122" spans="1:2">
      <c r="A122" t="s">
        <v>370</v>
      </c>
      <c r="B122" t="s">
        <v>298</v>
      </c>
    </row>
    <row r="123" spans="1:2">
      <c r="A123" t="s">
        <v>370</v>
      </c>
      <c r="B123" t="s">
        <v>300</v>
      </c>
    </row>
    <row r="124" spans="1:2">
      <c r="A124" t="s">
        <v>370</v>
      </c>
      <c r="B124" t="s">
        <v>302</v>
      </c>
    </row>
    <row r="125" spans="1:2">
      <c r="A125" t="s">
        <v>370</v>
      </c>
      <c r="B125" t="s">
        <v>304</v>
      </c>
    </row>
    <row r="126" spans="1:2">
      <c r="A126" t="s">
        <v>370</v>
      </c>
      <c r="B126" t="s">
        <v>306</v>
      </c>
    </row>
    <row r="127" spans="1:2">
      <c r="A127" t="s">
        <v>370</v>
      </c>
      <c r="B127" t="s">
        <v>308</v>
      </c>
    </row>
    <row r="128" spans="1:2">
      <c r="A128" t="s">
        <v>370</v>
      </c>
      <c r="B128" t="s">
        <v>310</v>
      </c>
    </row>
    <row r="129" spans="1:2">
      <c r="A129" t="s">
        <v>370</v>
      </c>
      <c r="B129" t="s">
        <v>312</v>
      </c>
    </row>
    <row r="130" spans="1:2">
      <c r="A130" t="s">
        <v>370</v>
      </c>
      <c r="B130" t="s">
        <v>314</v>
      </c>
    </row>
    <row r="131" spans="1:2">
      <c r="A131" t="s">
        <v>370</v>
      </c>
      <c r="B131" t="s">
        <v>316</v>
      </c>
    </row>
    <row r="132" spans="1:2">
      <c r="A132" t="s">
        <v>370</v>
      </c>
      <c r="B132" t="s">
        <v>318</v>
      </c>
    </row>
    <row r="133" spans="1:2">
      <c r="A133" t="s">
        <v>370</v>
      </c>
      <c r="B133" t="s">
        <v>320</v>
      </c>
    </row>
    <row r="134" spans="1:2">
      <c r="A134" t="s">
        <v>370</v>
      </c>
      <c r="B134" t="s">
        <v>322</v>
      </c>
    </row>
    <row r="135" spans="1:2">
      <c r="A135" t="s">
        <v>370</v>
      </c>
      <c r="B135" t="s">
        <v>324</v>
      </c>
    </row>
    <row r="136" spans="1:2">
      <c r="A136" t="s">
        <v>370</v>
      </c>
      <c r="B136" t="s">
        <v>326</v>
      </c>
    </row>
    <row r="137" spans="1:2">
      <c r="A137" t="s">
        <v>370</v>
      </c>
      <c r="B137" t="s">
        <v>327</v>
      </c>
    </row>
    <row r="138" spans="1:2">
      <c r="A138" t="s">
        <v>370</v>
      </c>
      <c r="B138" t="s">
        <v>328</v>
      </c>
    </row>
    <row r="139" spans="1:2">
      <c r="A139" t="s">
        <v>370</v>
      </c>
      <c r="B139" t="s">
        <v>329</v>
      </c>
    </row>
    <row r="140" spans="1:2">
      <c r="A140" t="s">
        <v>370</v>
      </c>
      <c r="B140" t="s">
        <v>330</v>
      </c>
    </row>
    <row r="141" spans="1:2">
      <c r="A141" t="s">
        <v>370</v>
      </c>
      <c r="B141" t="s">
        <v>331</v>
      </c>
    </row>
    <row r="142" spans="1:2">
      <c r="A142" t="s">
        <v>370</v>
      </c>
      <c r="B142" t="s">
        <v>332</v>
      </c>
    </row>
    <row r="143" spans="1:2">
      <c r="A143" t="s">
        <v>370</v>
      </c>
      <c r="B143" t="s">
        <v>333</v>
      </c>
    </row>
    <row r="144" spans="1:2">
      <c r="A144" t="s">
        <v>370</v>
      </c>
      <c r="B144" t="s">
        <v>334</v>
      </c>
    </row>
    <row r="145" spans="1:2">
      <c r="A145" t="s">
        <v>370</v>
      </c>
      <c r="B145" t="s">
        <v>335</v>
      </c>
    </row>
    <row r="146" spans="1:2">
      <c r="A146" t="s">
        <v>370</v>
      </c>
      <c r="B146" t="s">
        <v>336</v>
      </c>
    </row>
    <row r="147" spans="1:2">
      <c r="A147" t="s">
        <v>370</v>
      </c>
      <c r="B147" t="s">
        <v>337</v>
      </c>
    </row>
    <row r="148" spans="1:2">
      <c r="A148" t="s">
        <v>370</v>
      </c>
      <c r="B148" t="s">
        <v>338</v>
      </c>
    </row>
    <row r="149" spans="1:2">
      <c r="A149" t="s">
        <v>370</v>
      </c>
      <c r="B149" t="s">
        <v>339</v>
      </c>
    </row>
    <row r="150" spans="1:2">
      <c r="A150" t="s">
        <v>370</v>
      </c>
      <c r="B150" t="s">
        <v>340</v>
      </c>
    </row>
    <row r="151" spans="1:2">
      <c r="A151" t="s">
        <v>370</v>
      </c>
      <c r="B151" t="s">
        <v>341</v>
      </c>
    </row>
    <row r="152" spans="1:2">
      <c r="A152" t="s">
        <v>370</v>
      </c>
      <c r="B152" t="s">
        <v>342</v>
      </c>
    </row>
    <row r="153" spans="1:2">
      <c r="A153" t="s">
        <v>370</v>
      </c>
      <c r="B153" t="s">
        <v>343</v>
      </c>
    </row>
    <row r="154" spans="1:2">
      <c r="A154" t="s">
        <v>370</v>
      </c>
      <c r="B154" t="s">
        <v>344</v>
      </c>
    </row>
    <row r="155" spans="1:2">
      <c r="A155" t="s">
        <v>370</v>
      </c>
      <c r="B155" t="s">
        <v>345</v>
      </c>
    </row>
    <row r="156" spans="1:2">
      <c r="A156" t="s">
        <v>370</v>
      </c>
      <c r="B156" t="s">
        <v>346</v>
      </c>
    </row>
    <row r="157" spans="1:2">
      <c r="A157" t="s">
        <v>370</v>
      </c>
      <c r="B157" t="s">
        <v>347</v>
      </c>
    </row>
    <row r="158" spans="1:2">
      <c r="A158" t="s">
        <v>370</v>
      </c>
      <c r="B158" t="s">
        <v>348</v>
      </c>
    </row>
    <row r="159" spans="1:2">
      <c r="A159" t="s">
        <v>370</v>
      </c>
      <c r="B159" t="s">
        <v>349</v>
      </c>
    </row>
    <row r="160" spans="1:2">
      <c r="A160" t="s">
        <v>370</v>
      </c>
      <c r="B160" t="s">
        <v>350</v>
      </c>
    </row>
    <row r="161" spans="1:2">
      <c r="A161" t="s">
        <v>370</v>
      </c>
      <c r="B161" t="s">
        <v>351</v>
      </c>
    </row>
    <row r="162" spans="1:2">
      <c r="A162" t="s">
        <v>370</v>
      </c>
      <c r="B162" t="s">
        <v>352</v>
      </c>
    </row>
    <row r="163" spans="1:2">
      <c r="A163" t="s">
        <v>370</v>
      </c>
      <c r="B163" t="s">
        <v>353</v>
      </c>
    </row>
    <row r="164" spans="1:2">
      <c r="A164" t="s">
        <v>370</v>
      </c>
      <c r="B164" t="s">
        <v>354</v>
      </c>
    </row>
    <row r="165" spans="1:2">
      <c r="A165" t="s">
        <v>370</v>
      </c>
      <c r="B165" t="s">
        <v>355</v>
      </c>
    </row>
    <row r="166" spans="1:2">
      <c r="A166" t="s">
        <v>370</v>
      </c>
      <c r="B166" t="s">
        <v>356</v>
      </c>
    </row>
    <row r="167" spans="1:2">
      <c r="A167" t="s">
        <v>370</v>
      </c>
      <c r="B167" t="s">
        <v>357</v>
      </c>
    </row>
    <row r="168" spans="1:2">
      <c r="A168" t="s">
        <v>370</v>
      </c>
      <c r="B168" t="s">
        <v>358</v>
      </c>
    </row>
    <row r="169" spans="1:2">
      <c r="A169" t="s">
        <v>370</v>
      </c>
      <c r="B169" t="s">
        <v>359</v>
      </c>
    </row>
    <row r="170" spans="1:2">
      <c r="A170" t="s">
        <v>370</v>
      </c>
      <c r="B170" t="s">
        <v>360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9724D-3F66-41F4-94FA-CB4D74AA64A8}">
  <sheetPr codeName="Planilha8">
    <outlinePr summaryBelow="0" summaryRight="0"/>
  </sheetPr>
  <dimension ref="A1:X987"/>
  <sheetViews>
    <sheetView workbookViewId="0">
      <selection activeCell="A2" sqref="A2:B5"/>
    </sheetView>
  </sheetViews>
  <sheetFormatPr defaultColWidth="9.140625" defaultRowHeight="15" customHeight="1"/>
  <cols>
    <col min="1" max="5" width="35.7109375" style="4" customWidth="1"/>
    <col min="6" max="6" width="3" style="11" customWidth="1"/>
    <col min="7" max="20" width="9.140625" style="11"/>
    <col min="21" max="16384" width="9.140625" style="4"/>
  </cols>
  <sheetData>
    <row r="1" spans="1:24">
      <c r="A1" s="16" t="s">
        <v>179</v>
      </c>
      <c r="B1" s="17" t="s">
        <v>184</v>
      </c>
      <c r="C1" s="5"/>
      <c r="D1" s="5"/>
      <c r="E1" s="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5"/>
      <c r="V1" s="5"/>
      <c r="W1" s="5"/>
      <c r="X1" s="5"/>
    </row>
    <row r="2" spans="1:24" ht="45">
      <c r="A2" s="18" t="s">
        <v>180</v>
      </c>
      <c r="B2" s="19">
        <v>425</v>
      </c>
      <c r="C2" s="5"/>
      <c r="D2" s="5"/>
      <c r="E2" s="5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5"/>
      <c r="V2" s="5"/>
      <c r="W2" s="5"/>
      <c r="X2" s="5"/>
    </row>
    <row r="3" spans="1:24" ht="30">
      <c r="A3" s="18" t="s">
        <v>181</v>
      </c>
      <c r="B3" s="19">
        <v>380</v>
      </c>
      <c r="C3" s="5"/>
      <c r="D3" s="5"/>
      <c r="E3" s="5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5"/>
      <c r="V3" s="5"/>
      <c r="W3" s="5"/>
      <c r="X3" s="5"/>
    </row>
    <row r="4" spans="1:24">
      <c r="A4" s="20" t="s">
        <v>182</v>
      </c>
      <c r="B4" s="21">
        <v>335</v>
      </c>
      <c r="C4" s="5"/>
      <c r="D4" s="5"/>
      <c r="E4" s="5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5"/>
      <c r="V4" s="5"/>
      <c r="W4" s="5"/>
      <c r="X4" s="5"/>
    </row>
    <row r="5" spans="1:24" ht="15.75" thickBot="1">
      <c r="A5" s="22" t="s">
        <v>183</v>
      </c>
      <c r="B5" s="23">
        <f>370*5.5</f>
        <v>2035</v>
      </c>
      <c r="C5" s="15"/>
      <c r="D5" s="5"/>
      <c r="E5" s="5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5"/>
      <c r="V5" s="5"/>
      <c r="W5" s="5"/>
      <c r="X5" s="5"/>
    </row>
    <row r="6" spans="1:24">
      <c r="A6" s="5"/>
      <c r="B6" s="15"/>
      <c r="C6" s="5"/>
      <c r="D6" s="5"/>
      <c r="E6" s="5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5"/>
      <c r="V6" s="5"/>
      <c r="W6" s="5"/>
      <c r="X6" s="5"/>
    </row>
    <row r="7" spans="1:24">
      <c r="A7" s="5"/>
      <c r="B7" s="5"/>
      <c r="C7" s="5"/>
      <c r="D7" s="5"/>
      <c r="E7" s="5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5"/>
      <c r="V7" s="5"/>
      <c r="W7" s="5"/>
      <c r="X7" s="5"/>
    </row>
    <row r="8" spans="1:24" hidden="1">
      <c r="A8" s="5"/>
      <c r="B8" s="5"/>
      <c r="C8" s="5"/>
      <c r="D8" s="5"/>
      <c r="E8" s="5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5"/>
      <c r="V8" s="5"/>
      <c r="W8" s="5"/>
      <c r="X8" s="5"/>
    </row>
    <row r="9" spans="1:24" hidden="1">
      <c r="A9" s="5"/>
      <c r="B9" s="5"/>
      <c r="C9" s="5"/>
      <c r="D9" s="5"/>
      <c r="E9" s="5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5"/>
      <c r="V9" s="5"/>
      <c r="W9" s="5"/>
      <c r="X9" s="5"/>
    </row>
    <row r="10" spans="1:24">
      <c r="A10" s="5"/>
      <c r="B10" s="5"/>
      <c r="C10" s="5"/>
      <c r="D10" s="5"/>
      <c r="E10" s="5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5"/>
      <c r="V10" s="5"/>
      <c r="W10" s="5"/>
      <c r="X10" s="5"/>
    </row>
    <row r="11" spans="1:24">
      <c r="A11" s="5"/>
      <c r="B11" s="5"/>
      <c r="C11" s="5"/>
      <c r="D11" s="5"/>
      <c r="E11" s="5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5"/>
      <c r="V11" s="5"/>
      <c r="W11" s="5"/>
      <c r="X11" s="5"/>
    </row>
    <row r="12" spans="1:24">
      <c r="A12" s="5"/>
      <c r="B12" s="5"/>
      <c r="C12" s="5"/>
      <c r="D12" s="5"/>
      <c r="E12" s="5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5"/>
      <c r="V12" s="5"/>
      <c r="W12" s="5"/>
      <c r="X12" s="5"/>
    </row>
    <row r="13" spans="1:24">
      <c r="A13" s="5"/>
      <c r="B13" s="5"/>
      <c r="C13" s="5"/>
      <c r="D13" s="5"/>
      <c r="E13" s="5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5"/>
      <c r="V13" s="5"/>
      <c r="W13" s="5"/>
      <c r="X13" s="5"/>
    </row>
    <row r="14" spans="1:24">
      <c r="A14" s="5"/>
      <c r="B14" s="5"/>
      <c r="C14" s="5"/>
      <c r="D14" s="5"/>
      <c r="E14" s="5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5"/>
      <c r="V14" s="5"/>
      <c r="W14" s="5"/>
      <c r="X14" s="5"/>
    </row>
    <row r="15" spans="1:24">
      <c r="A15" s="5"/>
      <c r="B15" s="5"/>
      <c r="C15" s="5"/>
      <c r="D15" s="5"/>
      <c r="E15" s="5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5"/>
      <c r="V15" s="5"/>
      <c r="W15" s="5"/>
      <c r="X15" s="5"/>
    </row>
    <row r="16" spans="1:24">
      <c r="A16" s="5"/>
      <c r="B16" s="5"/>
      <c r="C16" s="5"/>
      <c r="D16" s="5"/>
      <c r="E16" s="5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5"/>
      <c r="V16" s="5"/>
      <c r="W16" s="5"/>
      <c r="X16" s="5"/>
    </row>
    <row r="17" spans="1:24">
      <c r="A17" s="5"/>
      <c r="B17" s="5"/>
      <c r="C17" s="5"/>
      <c r="D17" s="5"/>
      <c r="E17" s="5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5"/>
      <c r="V17" s="5"/>
      <c r="W17" s="5"/>
      <c r="X17" s="5"/>
    </row>
    <row r="18" spans="1:24">
      <c r="A18" s="5"/>
      <c r="B18" s="5"/>
      <c r="C18" s="5"/>
      <c r="D18" s="5"/>
      <c r="E18" s="5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5"/>
      <c r="V18" s="5"/>
      <c r="W18" s="5"/>
      <c r="X18" s="5"/>
    </row>
    <row r="19" spans="1:24">
      <c r="A19" s="5"/>
      <c r="B19" s="5"/>
      <c r="C19" s="5"/>
      <c r="D19" s="5"/>
      <c r="E19" s="5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5"/>
      <c r="V19" s="5"/>
      <c r="W19" s="5"/>
      <c r="X19" s="5"/>
    </row>
    <row r="20" spans="1:24">
      <c r="A20" s="5"/>
      <c r="B20" s="5"/>
      <c r="C20" s="5"/>
      <c r="D20" s="5"/>
      <c r="E20" s="5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5"/>
      <c r="V20" s="5"/>
      <c r="W20" s="5"/>
      <c r="X20" s="5"/>
    </row>
    <row r="21" spans="1:24">
      <c r="A21" s="5"/>
      <c r="B21" s="5"/>
      <c r="C21" s="5"/>
      <c r="D21" s="5"/>
      <c r="E21" s="5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5"/>
      <c r="V21" s="5"/>
      <c r="W21" s="5"/>
      <c r="X21" s="5"/>
    </row>
    <row r="22" spans="1:24">
      <c r="A22" s="5"/>
      <c r="B22" s="5"/>
      <c r="C22" s="5"/>
      <c r="D22" s="5"/>
      <c r="E22" s="5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5"/>
      <c r="V22" s="5"/>
      <c r="W22" s="5"/>
      <c r="X22" s="5"/>
    </row>
    <row r="23" spans="1:24">
      <c r="A23" s="5"/>
      <c r="B23" s="5"/>
      <c r="C23" s="5"/>
      <c r="D23" s="5"/>
      <c r="E23" s="5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5"/>
      <c r="V23" s="5"/>
      <c r="W23" s="5"/>
      <c r="X23" s="5"/>
    </row>
    <row r="24" spans="1:24">
      <c r="A24" s="5"/>
      <c r="B24" s="5"/>
      <c r="C24" s="5"/>
      <c r="D24" s="5"/>
      <c r="E24" s="5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5"/>
      <c r="V24" s="5"/>
      <c r="W24" s="5"/>
      <c r="X24" s="5"/>
    </row>
    <row r="25" spans="1:24">
      <c r="A25" s="5"/>
      <c r="B25" s="5"/>
      <c r="C25" s="5"/>
      <c r="D25" s="5"/>
      <c r="E25" s="5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5"/>
      <c r="V25" s="5"/>
      <c r="W25" s="5"/>
      <c r="X25" s="5"/>
    </row>
    <row r="26" spans="1:24">
      <c r="A26" s="5"/>
      <c r="B26" s="5"/>
      <c r="C26" s="5"/>
      <c r="D26" s="5"/>
      <c r="E26" s="5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5"/>
      <c r="V26" s="5"/>
      <c r="W26" s="5"/>
      <c r="X26" s="5"/>
    </row>
    <row r="27" spans="1:24">
      <c r="A27" s="5"/>
      <c r="B27" s="5"/>
      <c r="C27" s="5"/>
      <c r="D27" s="5"/>
      <c r="E27" s="5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5"/>
      <c r="V27" s="5"/>
      <c r="W27" s="5"/>
      <c r="X27" s="5"/>
    </row>
    <row r="28" spans="1:24">
      <c r="A28" s="5"/>
      <c r="B28" s="5"/>
      <c r="C28" s="5"/>
      <c r="D28" s="5"/>
      <c r="E28" s="5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5"/>
      <c r="V28" s="5"/>
      <c r="W28" s="5"/>
      <c r="X28" s="5"/>
    </row>
    <row r="29" spans="1:24">
      <c r="A29" s="5"/>
      <c r="B29" s="5"/>
      <c r="C29" s="5"/>
      <c r="D29" s="5"/>
      <c r="E29" s="5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5"/>
      <c r="V29" s="5"/>
      <c r="W29" s="5"/>
      <c r="X29" s="5"/>
    </row>
    <row r="30" spans="1:24">
      <c r="A30" s="5"/>
      <c r="B30" s="5"/>
      <c r="C30" s="5"/>
      <c r="D30" s="5"/>
      <c r="E30" s="5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5"/>
      <c r="V30" s="5"/>
      <c r="W30" s="5"/>
      <c r="X30" s="5"/>
    </row>
    <row r="31" spans="1:24">
      <c r="A31" s="5"/>
      <c r="B31" s="5"/>
      <c r="C31" s="5"/>
      <c r="D31" s="5"/>
      <c r="E31" s="5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5"/>
      <c r="V31" s="5"/>
      <c r="W31" s="5"/>
      <c r="X31" s="5"/>
    </row>
    <row r="32" spans="1:24">
      <c r="A32" s="5"/>
      <c r="B32" s="5"/>
      <c r="C32" s="5"/>
      <c r="D32" s="5"/>
      <c r="E32" s="5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5"/>
      <c r="V32" s="5"/>
      <c r="W32" s="5"/>
      <c r="X32" s="5"/>
    </row>
    <row r="33" spans="1:24">
      <c r="A33" s="5"/>
      <c r="B33" s="5"/>
      <c r="C33" s="5"/>
      <c r="D33" s="5"/>
      <c r="E33" s="5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5"/>
      <c r="V33" s="5"/>
      <c r="W33" s="5"/>
      <c r="X33" s="5"/>
    </row>
    <row r="34" spans="1:24">
      <c r="A34" s="5"/>
      <c r="B34" s="5"/>
      <c r="C34" s="5"/>
      <c r="D34" s="5"/>
      <c r="E34" s="5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5"/>
      <c r="V34" s="5"/>
      <c r="W34" s="5"/>
      <c r="X34" s="5"/>
    </row>
    <row r="35" spans="1:24">
      <c r="A35" s="5"/>
      <c r="B35" s="5"/>
      <c r="C35" s="5"/>
      <c r="D35" s="5"/>
      <c r="E35" s="5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5"/>
      <c r="V35" s="5"/>
      <c r="W35" s="5"/>
      <c r="X35" s="5"/>
    </row>
    <row r="36" spans="1:24">
      <c r="A36" s="5"/>
      <c r="B36" s="5"/>
      <c r="C36" s="5"/>
      <c r="D36" s="5"/>
      <c r="E36" s="5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5"/>
      <c r="V36" s="5"/>
      <c r="W36" s="5"/>
      <c r="X36" s="5"/>
    </row>
    <row r="37" spans="1:24">
      <c r="A37" s="5"/>
      <c r="B37" s="5"/>
      <c r="C37" s="5"/>
      <c r="D37" s="5"/>
      <c r="E37" s="5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5"/>
      <c r="V37" s="5"/>
      <c r="W37" s="5"/>
      <c r="X37" s="5"/>
    </row>
    <row r="38" spans="1:24">
      <c r="A38" s="5"/>
      <c r="B38" s="5"/>
      <c r="C38" s="5"/>
      <c r="D38" s="5"/>
      <c r="E38" s="5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5"/>
      <c r="V38" s="5"/>
      <c r="W38" s="5"/>
      <c r="X38" s="5"/>
    </row>
    <row r="39" spans="1:24">
      <c r="A39" s="5"/>
      <c r="B39" s="5"/>
      <c r="C39" s="5"/>
      <c r="D39" s="5"/>
      <c r="E39" s="5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5"/>
      <c r="V39" s="5"/>
      <c r="W39" s="5"/>
      <c r="X39" s="5"/>
    </row>
    <row r="40" spans="1:24">
      <c r="A40" s="5"/>
      <c r="B40" s="5"/>
      <c r="C40" s="5"/>
      <c r="D40" s="5"/>
      <c r="E40" s="5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5"/>
      <c r="V40" s="5"/>
      <c r="W40" s="5"/>
      <c r="X40" s="5"/>
    </row>
    <row r="41" spans="1:24">
      <c r="A41" s="5"/>
      <c r="B41" s="5"/>
      <c r="C41" s="5"/>
      <c r="D41" s="5"/>
      <c r="E41" s="5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5"/>
      <c r="V41" s="5"/>
      <c r="W41" s="5"/>
      <c r="X41" s="5"/>
    </row>
    <row r="42" spans="1:24">
      <c r="A42" s="5"/>
      <c r="B42" s="5"/>
      <c r="C42" s="5"/>
      <c r="D42" s="5"/>
      <c r="E42" s="5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5"/>
      <c r="V42" s="5"/>
      <c r="W42" s="5"/>
      <c r="X42" s="5"/>
    </row>
    <row r="43" spans="1:24">
      <c r="A43" s="5"/>
      <c r="B43" s="5"/>
      <c r="C43" s="5"/>
      <c r="D43" s="5"/>
      <c r="E43" s="5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5"/>
      <c r="V43" s="5"/>
      <c r="W43" s="5"/>
      <c r="X43" s="5"/>
    </row>
    <row r="44" spans="1:24">
      <c r="A44" s="5"/>
      <c r="B44" s="5"/>
      <c r="C44" s="5"/>
      <c r="D44" s="5"/>
      <c r="E44" s="5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5"/>
      <c r="V44" s="5"/>
      <c r="W44" s="5"/>
      <c r="X44" s="5"/>
    </row>
    <row r="45" spans="1:24">
      <c r="A45" s="5"/>
      <c r="B45" s="5"/>
      <c r="C45" s="5"/>
      <c r="D45" s="5"/>
      <c r="E45" s="5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5"/>
      <c r="V45" s="5"/>
      <c r="W45" s="5"/>
      <c r="X45" s="5"/>
    </row>
    <row r="46" spans="1:24">
      <c r="A46" s="5"/>
      <c r="B46" s="5"/>
      <c r="C46" s="5"/>
      <c r="D46" s="5"/>
      <c r="E46" s="5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5"/>
      <c r="V46" s="5"/>
      <c r="W46" s="5"/>
      <c r="X46" s="5"/>
    </row>
    <row r="47" spans="1:24">
      <c r="A47" s="5"/>
      <c r="B47" s="5"/>
      <c r="C47" s="5"/>
      <c r="D47" s="5"/>
      <c r="E47" s="5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5"/>
      <c r="V47" s="5"/>
      <c r="W47" s="5"/>
      <c r="X47" s="5"/>
    </row>
    <row r="48" spans="1:24">
      <c r="A48" s="5"/>
      <c r="B48" s="5"/>
      <c r="C48" s="5"/>
      <c r="D48" s="5"/>
      <c r="E48" s="5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5"/>
      <c r="V48" s="5"/>
      <c r="W48" s="5"/>
      <c r="X48" s="5"/>
    </row>
    <row r="49" spans="1:24">
      <c r="A49" s="5"/>
      <c r="B49" s="5"/>
      <c r="C49" s="5"/>
      <c r="D49" s="5"/>
      <c r="E49" s="5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5"/>
      <c r="V49" s="5"/>
      <c r="W49" s="5"/>
      <c r="X49" s="5"/>
    </row>
    <row r="50" spans="1:24">
      <c r="A50" s="5"/>
      <c r="B50" s="5"/>
      <c r="C50" s="5"/>
      <c r="D50" s="5"/>
      <c r="E50" s="5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5"/>
      <c r="V50" s="5"/>
      <c r="W50" s="5"/>
      <c r="X50" s="5"/>
    </row>
    <row r="51" spans="1:24">
      <c r="A51" s="5"/>
      <c r="B51" s="5"/>
      <c r="C51" s="5"/>
      <c r="D51" s="5"/>
      <c r="E51" s="5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5"/>
      <c r="V51" s="5"/>
      <c r="W51" s="5"/>
      <c r="X51" s="5"/>
    </row>
    <row r="52" spans="1:24">
      <c r="A52" s="5"/>
      <c r="B52" s="5"/>
      <c r="C52" s="5"/>
      <c r="D52" s="5"/>
      <c r="E52" s="5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5"/>
      <c r="V52" s="5"/>
      <c r="W52" s="5"/>
      <c r="X52" s="5"/>
    </row>
    <row r="53" spans="1:24">
      <c r="A53" s="5"/>
      <c r="B53" s="5"/>
      <c r="C53" s="5"/>
      <c r="D53" s="5"/>
      <c r="E53" s="5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5"/>
      <c r="V53" s="5"/>
      <c r="W53" s="5"/>
      <c r="X53" s="5"/>
    </row>
    <row r="54" spans="1:24">
      <c r="A54" s="5"/>
      <c r="B54" s="5"/>
      <c r="C54" s="5"/>
      <c r="D54" s="5"/>
      <c r="E54" s="5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5"/>
      <c r="V54" s="5"/>
      <c r="W54" s="5"/>
      <c r="X54" s="5"/>
    </row>
    <row r="55" spans="1:24">
      <c r="A55" s="5"/>
      <c r="B55" s="5"/>
      <c r="C55" s="5"/>
      <c r="D55" s="5"/>
      <c r="E55" s="5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5"/>
      <c r="V55" s="5"/>
      <c r="W55" s="5"/>
      <c r="X55" s="5"/>
    </row>
    <row r="56" spans="1:24">
      <c r="A56" s="5"/>
      <c r="B56" s="5"/>
      <c r="C56" s="5"/>
      <c r="D56" s="5"/>
      <c r="E56" s="5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5"/>
      <c r="V56" s="5"/>
      <c r="W56" s="5"/>
      <c r="X56" s="5"/>
    </row>
    <row r="57" spans="1:24">
      <c r="A57" s="5"/>
      <c r="B57" s="5"/>
      <c r="C57" s="5"/>
      <c r="D57" s="5"/>
      <c r="E57" s="5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5"/>
      <c r="V57" s="5"/>
      <c r="W57" s="5"/>
      <c r="X57" s="5"/>
    </row>
    <row r="58" spans="1:24">
      <c r="A58" s="5"/>
      <c r="B58" s="5"/>
      <c r="C58" s="5"/>
      <c r="D58" s="5"/>
      <c r="E58" s="5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5"/>
      <c r="V58" s="5"/>
      <c r="W58" s="5"/>
      <c r="X58" s="5"/>
    </row>
    <row r="59" spans="1:24">
      <c r="A59" s="5"/>
      <c r="B59" s="5"/>
      <c r="C59" s="5"/>
      <c r="D59" s="5"/>
      <c r="E59" s="5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5"/>
      <c r="V59" s="5"/>
      <c r="W59" s="5"/>
      <c r="X59" s="5"/>
    </row>
    <row r="60" spans="1:24">
      <c r="A60" s="5"/>
      <c r="B60" s="5"/>
      <c r="C60" s="5"/>
      <c r="D60" s="5"/>
      <c r="E60" s="5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5"/>
      <c r="V60" s="5"/>
      <c r="W60" s="5"/>
      <c r="X60" s="5"/>
    </row>
    <row r="61" spans="1:24">
      <c r="A61" s="5"/>
      <c r="B61" s="5"/>
      <c r="C61" s="5"/>
      <c r="D61" s="5"/>
      <c r="E61" s="5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5"/>
      <c r="V61" s="5"/>
      <c r="W61" s="5"/>
      <c r="X61" s="5"/>
    </row>
    <row r="62" spans="1:24">
      <c r="A62" s="5"/>
      <c r="B62" s="5"/>
      <c r="C62" s="5"/>
      <c r="D62" s="5"/>
      <c r="E62" s="5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5"/>
      <c r="V62" s="5"/>
      <c r="W62" s="5"/>
      <c r="X62" s="5"/>
    </row>
    <row r="63" spans="1:24">
      <c r="A63" s="5"/>
      <c r="B63" s="5"/>
      <c r="C63" s="5"/>
      <c r="D63" s="5"/>
      <c r="E63" s="5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5"/>
      <c r="V63" s="5"/>
      <c r="W63" s="5"/>
      <c r="X63" s="5"/>
    </row>
    <row r="64" spans="1:24">
      <c r="A64" s="5"/>
      <c r="B64" s="5"/>
      <c r="C64" s="5"/>
      <c r="D64" s="5"/>
      <c r="E64" s="5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5"/>
      <c r="V64" s="5"/>
      <c r="W64" s="5"/>
      <c r="X64" s="5"/>
    </row>
    <row r="65" spans="1:24">
      <c r="A65" s="5"/>
      <c r="B65" s="5"/>
      <c r="C65" s="5"/>
      <c r="D65" s="5"/>
      <c r="E65" s="5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5"/>
      <c r="V65" s="5"/>
      <c r="W65" s="5"/>
      <c r="X65" s="5"/>
    </row>
    <row r="66" spans="1:24">
      <c r="A66" s="5"/>
      <c r="B66" s="5"/>
      <c r="C66" s="5"/>
      <c r="D66" s="5"/>
      <c r="E66" s="5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5"/>
      <c r="V66" s="5"/>
      <c r="W66" s="5"/>
      <c r="X66" s="5"/>
    </row>
    <row r="67" spans="1:24">
      <c r="A67" s="5"/>
      <c r="B67" s="5"/>
      <c r="C67" s="5"/>
      <c r="D67" s="5"/>
      <c r="E67" s="5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5"/>
      <c r="V67" s="5"/>
      <c r="W67" s="5"/>
      <c r="X67" s="5"/>
    </row>
    <row r="68" spans="1:24">
      <c r="A68" s="5"/>
      <c r="B68" s="5"/>
      <c r="C68" s="5"/>
      <c r="D68" s="5"/>
      <c r="E68" s="5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5"/>
      <c r="V68" s="5"/>
      <c r="W68" s="5"/>
      <c r="X68" s="5"/>
    </row>
    <row r="69" spans="1:24">
      <c r="A69" s="5"/>
      <c r="B69" s="5"/>
      <c r="C69" s="5"/>
      <c r="D69" s="5"/>
      <c r="E69" s="5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5"/>
      <c r="V69" s="5"/>
      <c r="W69" s="5"/>
      <c r="X69" s="5"/>
    </row>
    <row r="70" spans="1:24">
      <c r="A70" s="5"/>
      <c r="B70" s="5"/>
      <c r="C70" s="5"/>
      <c r="D70" s="5"/>
      <c r="E70" s="5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5"/>
      <c r="V70" s="5"/>
      <c r="W70" s="5"/>
      <c r="X70" s="5"/>
    </row>
    <row r="71" spans="1:24">
      <c r="A71" s="5"/>
      <c r="B71" s="5"/>
      <c r="C71" s="5"/>
      <c r="D71" s="5"/>
      <c r="E71" s="5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5"/>
      <c r="V71" s="5"/>
      <c r="W71" s="5"/>
      <c r="X71" s="5"/>
    </row>
    <row r="72" spans="1:24">
      <c r="A72" s="5"/>
      <c r="B72" s="5"/>
      <c r="C72" s="5"/>
      <c r="D72" s="5"/>
      <c r="E72" s="5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5"/>
      <c r="V72" s="5"/>
      <c r="W72" s="5"/>
      <c r="X72" s="5"/>
    </row>
    <row r="73" spans="1:24">
      <c r="A73" s="5"/>
      <c r="B73" s="5"/>
      <c r="C73" s="5"/>
      <c r="D73" s="5"/>
      <c r="E73" s="5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5"/>
      <c r="V73" s="5"/>
      <c r="W73" s="5"/>
      <c r="X73" s="5"/>
    </row>
    <row r="74" spans="1:24">
      <c r="A74" s="5"/>
      <c r="B74" s="5"/>
      <c r="C74" s="5"/>
      <c r="D74" s="5"/>
      <c r="E74" s="5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5"/>
      <c r="V74" s="5"/>
      <c r="W74" s="5"/>
      <c r="X74" s="5"/>
    </row>
    <row r="75" spans="1:24">
      <c r="A75" s="5"/>
      <c r="B75" s="5"/>
      <c r="C75" s="5"/>
      <c r="D75" s="5"/>
      <c r="E75" s="5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5"/>
      <c r="V75" s="5"/>
      <c r="W75" s="5"/>
      <c r="X75" s="5"/>
    </row>
    <row r="76" spans="1:24">
      <c r="A76" s="5"/>
      <c r="B76" s="5"/>
      <c r="C76" s="5"/>
      <c r="D76" s="5"/>
      <c r="E76" s="5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5"/>
      <c r="V76" s="5"/>
      <c r="W76" s="5"/>
      <c r="X76" s="5"/>
    </row>
    <row r="77" spans="1:24">
      <c r="A77" s="5"/>
      <c r="B77" s="5"/>
      <c r="C77" s="5"/>
      <c r="D77" s="5"/>
      <c r="E77" s="5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5"/>
      <c r="V77" s="5"/>
      <c r="W77" s="5"/>
      <c r="X77" s="5"/>
    </row>
    <row r="78" spans="1:24">
      <c r="A78" s="5"/>
      <c r="B78" s="5"/>
      <c r="C78" s="5"/>
      <c r="D78" s="5"/>
      <c r="E78" s="5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5"/>
      <c r="V78" s="5"/>
      <c r="W78" s="5"/>
      <c r="X78" s="5"/>
    </row>
    <row r="79" spans="1:24">
      <c r="A79" s="5"/>
      <c r="B79" s="5"/>
      <c r="C79" s="5"/>
      <c r="D79" s="5"/>
      <c r="E79" s="5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5"/>
      <c r="V79" s="5"/>
      <c r="W79" s="5"/>
      <c r="X79" s="5"/>
    </row>
    <row r="80" spans="1:24">
      <c r="A80" s="5"/>
      <c r="B80" s="5"/>
      <c r="C80" s="5"/>
      <c r="D80" s="5"/>
      <c r="E80" s="5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5"/>
      <c r="V80" s="5"/>
      <c r="W80" s="5"/>
      <c r="X80" s="5"/>
    </row>
    <row r="81" spans="1:24">
      <c r="A81" s="5"/>
      <c r="B81" s="5"/>
      <c r="C81" s="5"/>
      <c r="D81" s="5"/>
      <c r="E81" s="5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5"/>
      <c r="V81" s="5"/>
      <c r="W81" s="5"/>
      <c r="X81" s="5"/>
    </row>
    <row r="82" spans="1:24">
      <c r="A82" s="5"/>
      <c r="B82" s="5"/>
      <c r="C82" s="5"/>
      <c r="D82" s="5"/>
      <c r="E82" s="5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5"/>
      <c r="V82" s="5"/>
      <c r="W82" s="5"/>
      <c r="X82" s="5"/>
    </row>
    <row r="83" spans="1:24">
      <c r="A83" s="5"/>
      <c r="B83" s="5"/>
      <c r="C83" s="5"/>
      <c r="D83" s="5"/>
      <c r="E83" s="5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5"/>
      <c r="V83" s="5"/>
      <c r="W83" s="5"/>
      <c r="X83" s="5"/>
    </row>
    <row r="84" spans="1:24">
      <c r="A84" s="5"/>
      <c r="B84" s="5"/>
      <c r="C84" s="5"/>
      <c r="D84" s="5"/>
      <c r="E84" s="5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5"/>
      <c r="V84" s="5"/>
      <c r="W84" s="5"/>
      <c r="X84" s="5"/>
    </row>
    <row r="85" spans="1:24">
      <c r="A85" s="5"/>
      <c r="B85" s="5"/>
      <c r="C85" s="5"/>
      <c r="D85" s="5"/>
      <c r="E85" s="5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5"/>
      <c r="V85" s="5"/>
      <c r="W85" s="5"/>
      <c r="X85" s="5"/>
    </row>
    <row r="86" spans="1:24">
      <c r="A86" s="5"/>
      <c r="B86" s="5"/>
      <c r="C86" s="5"/>
      <c r="D86" s="5"/>
      <c r="E86" s="5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5"/>
      <c r="V86" s="5"/>
      <c r="W86" s="5"/>
      <c r="X86" s="5"/>
    </row>
    <row r="87" spans="1:24">
      <c r="A87" s="5"/>
      <c r="B87" s="5"/>
      <c r="C87" s="5"/>
      <c r="D87" s="5"/>
      <c r="E87" s="5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5"/>
      <c r="V87" s="5"/>
      <c r="W87" s="5"/>
      <c r="X87" s="5"/>
    </row>
    <row r="88" spans="1:24">
      <c r="A88" s="5"/>
      <c r="B88" s="5"/>
      <c r="C88" s="5"/>
      <c r="D88" s="5"/>
      <c r="E88" s="5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5"/>
      <c r="V88" s="5"/>
      <c r="W88" s="5"/>
      <c r="X88" s="5"/>
    </row>
    <row r="89" spans="1:24">
      <c r="A89" s="5"/>
      <c r="B89" s="5"/>
      <c r="C89" s="5"/>
      <c r="D89" s="5"/>
      <c r="E89" s="5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5"/>
      <c r="V89" s="5"/>
      <c r="W89" s="5"/>
      <c r="X89" s="5"/>
    </row>
    <row r="90" spans="1:24">
      <c r="A90" s="5"/>
      <c r="B90" s="5"/>
      <c r="C90" s="5"/>
      <c r="D90" s="5"/>
      <c r="E90" s="5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5"/>
      <c r="V90" s="5"/>
      <c r="W90" s="5"/>
      <c r="X90" s="5"/>
    </row>
    <row r="91" spans="1:24">
      <c r="A91" s="5"/>
      <c r="B91" s="5"/>
      <c r="C91" s="5"/>
      <c r="D91" s="5"/>
      <c r="E91" s="5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5"/>
      <c r="V91" s="5"/>
      <c r="W91" s="5"/>
      <c r="X91" s="5"/>
    </row>
    <row r="92" spans="1:24">
      <c r="A92" s="5"/>
      <c r="B92" s="5"/>
      <c r="C92" s="5"/>
      <c r="D92" s="5"/>
      <c r="E92" s="5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5"/>
      <c r="V92" s="5"/>
      <c r="W92" s="5"/>
      <c r="X92" s="5"/>
    </row>
    <row r="93" spans="1:24">
      <c r="A93" s="5"/>
      <c r="B93" s="5"/>
      <c r="C93" s="5"/>
      <c r="D93" s="5"/>
      <c r="E93" s="5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5"/>
      <c r="V93" s="5"/>
      <c r="W93" s="5"/>
      <c r="X93" s="5"/>
    </row>
    <row r="94" spans="1:24">
      <c r="A94" s="5"/>
      <c r="B94" s="5"/>
      <c r="C94" s="5"/>
      <c r="D94" s="5"/>
      <c r="E94" s="5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5"/>
      <c r="V94" s="5"/>
      <c r="W94" s="5"/>
      <c r="X94" s="5"/>
    </row>
    <row r="95" spans="1:24">
      <c r="A95" s="5"/>
      <c r="B95" s="5"/>
      <c r="C95" s="5"/>
      <c r="D95" s="5"/>
      <c r="E95" s="5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5"/>
      <c r="V95" s="5"/>
      <c r="W95" s="5"/>
      <c r="X95" s="5"/>
    </row>
    <row r="96" spans="1:24">
      <c r="A96" s="5"/>
      <c r="B96" s="5"/>
      <c r="C96" s="5"/>
      <c r="D96" s="5"/>
      <c r="E96" s="5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5"/>
      <c r="V96" s="5"/>
      <c r="W96" s="5"/>
      <c r="X96" s="5"/>
    </row>
    <row r="97" spans="1:24">
      <c r="A97" s="5"/>
      <c r="B97" s="5"/>
      <c r="C97" s="5"/>
      <c r="D97" s="5"/>
      <c r="E97" s="5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5"/>
      <c r="V97" s="5"/>
      <c r="W97" s="5"/>
      <c r="X97" s="5"/>
    </row>
    <row r="98" spans="1:24">
      <c r="A98" s="5"/>
      <c r="B98" s="5"/>
      <c r="C98" s="5"/>
      <c r="D98" s="5"/>
      <c r="E98" s="5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5"/>
      <c r="V98" s="5"/>
      <c r="W98" s="5"/>
      <c r="X98" s="5"/>
    </row>
    <row r="99" spans="1:24">
      <c r="A99" s="5"/>
      <c r="B99" s="5"/>
      <c r="C99" s="5"/>
      <c r="D99" s="5"/>
      <c r="E99" s="5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5"/>
      <c r="V99" s="5"/>
      <c r="W99" s="5"/>
      <c r="X99" s="5"/>
    </row>
    <row r="100" spans="1:24">
      <c r="A100" s="5"/>
      <c r="B100" s="5"/>
      <c r="C100" s="5"/>
      <c r="D100" s="5"/>
      <c r="E100" s="5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5"/>
      <c r="V100" s="5"/>
      <c r="W100" s="5"/>
      <c r="X100" s="5"/>
    </row>
    <row r="101" spans="1:24">
      <c r="A101" s="5"/>
      <c r="B101" s="5"/>
      <c r="C101" s="5"/>
      <c r="D101" s="5"/>
      <c r="E101" s="5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5"/>
      <c r="V101" s="5"/>
      <c r="W101" s="5"/>
      <c r="X101" s="5"/>
    </row>
    <row r="102" spans="1:24">
      <c r="A102" s="5"/>
      <c r="B102" s="5"/>
      <c r="C102" s="5"/>
      <c r="D102" s="5"/>
      <c r="E102" s="5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5"/>
      <c r="V102" s="5"/>
      <c r="W102" s="5"/>
      <c r="X102" s="5"/>
    </row>
    <row r="103" spans="1:24">
      <c r="A103" s="5"/>
      <c r="B103" s="5"/>
      <c r="C103" s="5"/>
      <c r="D103" s="5"/>
      <c r="E103" s="5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5"/>
      <c r="V103" s="5"/>
      <c r="W103" s="5"/>
      <c r="X103" s="5"/>
    </row>
    <row r="104" spans="1:24">
      <c r="A104" s="5"/>
      <c r="B104" s="5"/>
      <c r="C104" s="5"/>
      <c r="D104" s="5"/>
      <c r="E104" s="5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5"/>
      <c r="V104" s="5"/>
      <c r="W104" s="5"/>
      <c r="X104" s="5"/>
    </row>
    <row r="105" spans="1:24">
      <c r="A105" s="5"/>
      <c r="B105" s="5"/>
      <c r="C105" s="5"/>
      <c r="D105" s="5"/>
      <c r="E105" s="5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5"/>
      <c r="V105" s="5"/>
      <c r="W105" s="5"/>
      <c r="X105" s="5"/>
    </row>
    <row r="106" spans="1:24">
      <c r="A106" s="5"/>
      <c r="B106" s="5"/>
      <c r="C106" s="5"/>
      <c r="D106" s="5"/>
      <c r="E106" s="5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5"/>
      <c r="V106" s="5"/>
      <c r="W106" s="5"/>
      <c r="X106" s="5"/>
    </row>
    <row r="107" spans="1:24">
      <c r="A107" s="5"/>
      <c r="B107" s="5"/>
      <c r="C107" s="5"/>
      <c r="D107" s="5"/>
      <c r="E107" s="5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5"/>
      <c r="V107" s="5"/>
      <c r="W107" s="5"/>
      <c r="X107" s="5"/>
    </row>
    <row r="108" spans="1:24">
      <c r="A108" s="5"/>
      <c r="B108" s="5"/>
      <c r="C108" s="5"/>
      <c r="D108" s="5"/>
      <c r="E108" s="5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5"/>
      <c r="V108" s="5"/>
      <c r="W108" s="5"/>
      <c r="X108" s="5"/>
    </row>
    <row r="109" spans="1:24">
      <c r="A109" s="5"/>
      <c r="B109" s="5"/>
      <c r="C109" s="5"/>
      <c r="D109" s="5"/>
      <c r="E109" s="5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5"/>
      <c r="V109" s="5"/>
      <c r="W109" s="5"/>
      <c r="X109" s="5"/>
    </row>
    <row r="110" spans="1:24">
      <c r="A110" s="5"/>
      <c r="B110" s="5"/>
      <c r="C110" s="5"/>
      <c r="D110" s="5"/>
      <c r="E110" s="5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5"/>
      <c r="V110" s="5"/>
      <c r="W110" s="5"/>
      <c r="X110" s="5"/>
    </row>
    <row r="111" spans="1:24">
      <c r="A111" s="5"/>
      <c r="B111" s="5"/>
      <c r="C111" s="5"/>
      <c r="D111" s="5"/>
      <c r="E111" s="5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5"/>
      <c r="V111" s="5"/>
      <c r="W111" s="5"/>
      <c r="X111" s="5"/>
    </row>
    <row r="112" spans="1:24">
      <c r="A112" s="5"/>
      <c r="B112" s="5"/>
      <c r="C112" s="5"/>
      <c r="D112" s="5"/>
      <c r="E112" s="5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5"/>
      <c r="V112" s="5"/>
      <c r="W112" s="5"/>
      <c r="X112" s="5"/>
    </row>
    <row r="113" spans="1:24">
      <c r="A113" s="5"/>
      <c r="B113" s="5"/>
      <c r="C113" s="5"/>
      <c r="D113" s="5"/>
      <c r="E113" s="5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5"/>
      <c r="V113" s="5"/>
      <c r="W113" s="5"/>
      <c r="X113" s="5"/>
    </row>
    <row r="114" spans="1:24">
      <c r="A114" s="5"/>
      <c r="B114" s="5"/>
      <c r="C114" s="5"/>
      <c r="D114" s="5"/>
      <c r="E114" s="5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5"/>
      <c r="V114" s="5"/>
      <c r="W114" s="5"/>
      <c r="X114" s="5"/>
    </row>
    <row r="115" spans="1:24">
      <c r="A115" s="5"/>
      <c r="B115" s="5"/>
      <c r="C115" s="5"/>
      <c r="D115" s="5"/>
      <c r="E115" s="5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5"/>
      <c r="V115" s="5"/>
      <c r="W115" s="5"/>
      <c r="X115" s="5"/>
    </row>
    <row r="116" spans="1:24">
      <c r="A116" s="5"/>
      <c r="B116" s="5"/>
      <c r="C116" s="5"/>
      <c r="D116" s="5"/>
      <c r="E116" s="5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5"/>
      <c r="V116" s="5"/>
      <c r="W116" s="5"/>
      <c r="X116" s="5"/>
    </row>
    <row r="117" spans="1:24">
      <c r="A117" s="5"/>
      <c r="B117" s="5"/>
      <c r="C117" s="5"/>
      <c r="D117" s="5"/>
      <c r="E117" s="5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5"/>
      <c r="V117" s="5"/>
      <c r="W117" s="5"/>
      <c r="X117" s="5"/>
    </row>
    <row r="118" spans="1:24">
      <c r="A118" s="5"/>
      <c r="B118" s="5"/>
      <c r="C118" s="5"/>
      <c r="D118" s="5"/>
      <c r="E118" s="5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5"/>
      <c r="V118" s="5"/>
      <c r="W118" s="5"/>
      <c r="X118" s="5"/>
    </row>
    <row r="119" spans="1:24">
      <c r="A119" s="5"/>
      <c r="B119" s="5"/>
      <c r="C119" s="5"/>
      <c r="D119" s="5"/>
      <c r="E119" s="5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5"/>
      <c r="V119" s="5"/>
      <c r="W119" s="5"/>
      <c r="X119" s="5"/>
    </row>
    <row r="120" spans="1:24">
      <c r="A120" s="5"/>
      <c r="B120" s="5"/>
      <c r="C120" s="5"/>
      <c r="D120" s="5"/>
      <c r="E120" s="5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5"/>
      <c r="V120" s="5"/>
      <c r="W120" s="5"/>
      <c r="X120" s="5"/>
    </row>
    <row r="121" spans="1:24">
      <c r="A121" s="5"/>
      <c r="B121" s="5"/>
      <c r="C121" s="5"/>
      <c r="D121" s="5"/>
      <c r="E121" s="5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5"/>
      <c r="V121" s="5"/>
      <c r="W121" s="5"/>
      <c r="X121" s="5"/>
    </row>
    <row r="122" spans="1:24">
      <c r="A122" s="5"/>
      <c r="B122" s="5"/>
      <c r="C122" s="5"/>
      <c r="D122" s="5"/>
      <c r="E122" s="5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5"/>
      <c r="V122" s="5"/>
      <c r="W122" s="5"/>
      <c r="X122" s="5"/>
    </row>
    <row r="123" spans="1:24">
      <c r="A123" s="5"/>
      <c r="B123" s="5"/>
      <c r="C123" s="5"/>
      <c r="D123" s="5"/>
      <c r="E123" s="5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5"/>
      <c r="V123" s="5"/>
      <c r="W123" s="5"/>
      <c r="X123" s="5"/>
    </row>
    <row r="124" spans="1:24">
      <c r="A124" s="5"/>
      <c r="B124" s="5"/>
      <c r="C124" s="5"/>
      <c r="D124" s="5"/>
      <c r="E124" s="5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5"/>
      <c r="V124" s="5"/>
      <c r="W124" s="5"/>
      <c r="X124" s="5"/>
    </row>
    <row r="125" spans="1:24">
      <c r="A125" s="5"/>
      <c r="B125" s="5"/>
      <c r="C125" s="5"/>
      <c r="D125" s="5"/>
      <c r="E125" s="5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5"/>
      <c r="V125" s="5"/>
      <c r="W125" s="5"/>
      <c r="X125" s="5"/>
    </row>
    <row r="126" spans="1:24">
      <c r="A126" s="5"/>
      <c r="B126" s="5"/>
      <c r="C126" s="5"/>
      <c r="D126" s="5"/>
      <c r="E126" s="5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5"/>
      <c r="V126" s="5"/>
      <c r="W126" s="5"/>
      <c r="X126" s="5"/>
    </row>
    <row r="127" spans="1:24">
      <c r="A127" s="5"/>
      <c r="B127" s="5"/>
      <c r="C127" s="5"/>
      <c r="D127" s="5"/>
      <c r="E127" s="5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5"/>
      <c r="V127" s="5"/>
      <c r="W127" s="5"/>
      <c r="X127" s="5"/>
    </row>
    <row r="128" spans="1:24">
      <c r="A128" s="5"/>
      <c r="B128" s="5"/>
      <c r="C128" s="5"/>
      <c r="D128" s="5"/>
      <c r="E128" s="5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5"/>
      <c r="V128" s="5"/>
      <c r="W128" s="5"/>
      <c r="X128" s="5"/>
    </row>
    <row r="129" spans="1:24">
      <c r="A129" s="5"/>
      <c r="B129" s="5"/>
      <c r="C129" s="5"/>
      <c r="D129" s="5"/>
      <c r="E129" s="5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5"/>
      <c r="V129" s="5"/>
      <c r="W129" s="5"/>
      <c r="X129" s="5"/>
    </row>
    <row r="130" spans="1:24">
      <c r="A130" s="5"/>
      <c r="B130" s="5"/>
      <c r="C130" s="5"/>
      <c r="D130" s="5"/>
      <c r="E130" s="5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5"/>
      <c r="V130" s="5"/>
      <c r="W130" s="5"/>
      <c r="X130" s="5"/>
    </row>
    <row r="131" spans="1:24">
      <c r="A131" s="5"/>
      <c r="B131" s="5"/>
      <c r="C131" s="5"/>
      <c r="D131" s="5"/>
      <c r="E131" s="5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5"/>
      <c r="V131" s="5"/>
      <c r="W131" s="5"/>
      <c r="X131" s="5"/>
    </row>
    <row r="132" spans="1:24">
      <c r="A132" s="5"/>
      <c r="B132" s="5"/>
      <c r="C132" s="5"/>
      <c r="D132" s="5"/>
      <c r="E132" s="5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5"/>
      <c r="V132" s="5"/>
      <c r="W132" s="5"/>
      <c r="X132" s="5"/>
    </row>
    <row r="133" spans="1:24">
      <c r="A133" s="5"/>
      <c r="B133" s="5"/>
      <c r="C133" s="5"/>
      <c r="D133" s="5"/>
      <c r="E133" s="5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5"/>
      <c r="V133" s="5"/>
      <c r="W133" s="5"/>
      <c r="X133" s="5"/>
    </row>
    <row r="134" spans="1:24">
      <c r="A134" s="5"/>
      <c r="B134" s="5"/>
      <c r="C134" s="5"/>
      <c r="D134" s="5"/>
      <c r="E134" s="5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5"/>
      <c r="V134" s="5"/>
      <c r="W134" s="5"/>
      <c r="X134" s="5"/>
    </row>
    <row r="135" spans="1:24">
      <c r="A135" s="5"/>
      <c r="B135" s="5"/>
      <c r="C135" s="5"/>
      <c r="D135" s="5"/>
      <c r="E135" s="5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5"/>
      <c r="V135" s="5"/>
      <c r="W135" s="5"/>
      <c r="X135" s="5"/>
    </row>
    <row r="136" spans="1:24">
      <c r="A136" s="5"/>
      <c r="B136" s="5"/>
      <c r="C136" s="5"/>
      <c r="D136" s="5"/>
      <c r="E136" s="5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5"/>
      <c r="V136" s="5"/>
      <c r="W136" s="5"/>
      <c r="X136" s="5"/>
    </row>
    <row r="137" spans="1:24">
      <c r="A137" s="5"/>
      <c r="B137" s="5"/>
      <c r="C137" s="5"/>
      <c r="D137" s="5"/>
      <c r="E137" s="5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5"/>
      <c r="V137" s="5"/>
      <c r="W137" s="5"/>
      <c r="X137" s="5"/>
    </row>
    <row r="138" spans="1:24">
      <c r="A138" s="5"/>
      <c r="B138" s="5"/>
      <c r="C138" s="5"/>
      <c r="D138" s="5"/>
      <c r="E138" s="5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5"/>
      <c r="V138" s="5"/>
      <c r="W138" s="5"/>
      <c r="X138" s="5"/>
    </row>
    <row r="139" spans="1:24">
      <c r="A139" s="5"/>
      <c r="B139" s="5"/>
      <c r="C139" s="5"/>
      <c r="D139" s="5"/>
      <c r="E139" s="5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5"/>
      <c r="V139" s="5"/>
      <c r="W139" s="5"/>
      <c r="X139" s="5"/>
    </row>
    <row r="140" spans="1:24">
      <c r="A140" s="5"/>
      <c r="B140" s="5"/>
      <c r="C140" s="5"/>
      <c r="D140" s="5"/>
      <c r="E140" s="5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5"/>
      <c r="V140" s="5"/>
      <c r="W140" s="5"/>
      <c r="X140" s="5"/>
    </row>
    <row r="141" spans="1:24">
      <c r="A141" s="5"/>
      <c r="B141" s="5"/>
      <c r="C141" s="5"/>
      <c r="D141" s="5"/>
      <c r="E141" s="5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5"/>
      <c r="V141" s="5"/>
      <c r="W141" s="5"/>
      <c r="X141" s="5"/>
    </row>
    <row r="142" spans="1:24">
      <c r="A142" s="5"/>
      <c r="B142" s="5"/>
      <c r="C142" s="5"/>
      <c r="D142" s="5"/>
      <c r="E142" s="5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5"/>
      <c r="V142" s="5"/>
      <c r="W142" s="5"/>
      <c r="X142" s="5"/>
    </row>
    <row r="143" spans="1:24">
      <c r="A143" s="5"/>
      <c r="B143" s="5"/>
      <c r="C143" s="5"/>
      <c r="D143" s="5"/>
      <c r="E143" s="5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5"/>
      <c r="V143" s="5"/>
      <c r="W143" s="5"/>
      <c r="X143" s="5"/>
    </row>
    <row r="144" spans="1:24">
      <c r="A144" s="5"/>
      <c r="B144" s="5"/>
      <c r="C144" s="5"/>
      <c r="D144" s="5"/>
      <c r="E144" s="5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5"/>
      <c r="V144" s="5"/>
      <c r="W144" s="5"/>
      <c r="X144" s="5"/>
    </row>
    <row r="145" spans="1:24">
      <c r="A145" s="5"/>
      <c r="B145" s="5"/>
      <c r="C145" s="5"/>
      <c r="D145" s="5"/>
      <c r="E145" s="5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5"/>
      <c r="V145" s="5"/>
      <c r="W145" s="5"/>
      <c r="X145" s="5"/>
    </row>
    <row r="146" spans="1:24">
      <c r="A146" s="5"/>
      <c r="B146" s="5"/>
      <c r="C146" s="5"/>
      <c r="D146" s="5"/>
      <c r="E146" s="5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5"/>
      <c r="V146" s="5"/>
      <c r="W146" s="5"/>
      <c r="X146" s="5"/>
    </row>
    <row r="147" spans="1:24">
      <c r="A147" s="5"/>
      <c r="B147" s="5"/>
      <c r="C147" s="5"/>
      <c r="D147" s="5"/>
      <c r="E147" s="5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5"/>
      <c r="V147" s="5"/>
      <c r="W147" s="5"/>
      <c r="X147" s="5"/>
    </row>
    <row r="148" spans="1:24">
      <c r="A148" s="5"/>
      <c r="B148" s="5"/>
      <c r="C148" s="5"/>
      <c r="D148" s="5"/>
      <c r="E148" s="5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5"/>
      <c r="V148" s="5"/>
      <c r="W148" s="5"/>
      <c r="X148" s="5"/>
    </row>
    <row r="149" spans="1:24">
      <c r="A149" s="5"/>
      <c r="B149" s="5"/>
      <c r="C149" s="5"/>
      <c r="D149" s="5"/>
      <c r="E149" s="5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5"/>
      <c r="V149" s="5"/>
      <c r="W149" s="5"/>
      <c r="X149" s="5"/>
    </row>
    <row r="150" spans="1:24">
      <c r="A150" s="5"/>
      <c r="B150" s="5"/>
      <c r="C150" s="5"/>
      <c r="D150" s="5"/>
      <c r="E150" s="5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5"/>
      <c r="V150" s="5"/>
      <c r="W150" s="5"/>
      <c r="X150" s="5"/>
    </row>
    <row r="151" spans="1:24">
      <c r="A151" s="5"/>
      <c r="B151" s="5"/>
      <c r="C151" s="5"/>
      <c r="D151" s="5"/>
      <c r="E151" s="5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5"/>
      <c r="V151" s="5"/>
      <c r="W151" s="5"/>
      <c r="X151" s="5"/>
    </row>
    <row r="152" spans="1:24">
      <c r="A152" s="5"/>
      <c r="B152" s="5"/>
      <c r="C152" s="5"/>
      <c r="D152" s="5"/>
      <c r="E152" s="5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5"/>
      <c r="V152" s="5"/>
      <c r="W152" s="5"/>
      <c r="X152" s="5"/>
    </row>
    <row r="153" spans="1:24">
      <c r="A153" s="5"/>
      <c r="B153" s="5"/>
      <c r="C153" s="5"/>
      <c r="D153" s="5"/>
      <c r="E153" s="5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5"/>
      <c r="V153" s="5"/>
      <c r="W153" s="5"/>
      <c r="X153" s="5"/>
    </row>
    <row r="154" spans="1:24">
      <c r="A154" s="5"/>
      <c r="B154" s="5"/>
      <c r="C154" s="5"/>
      <c r="D154" s="5"/>
      <c r="E154" s="5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5"/>
      <c r="V154" s="5"/>
      <c r="W154" s="5"/>
      <c r="X154" s="5"/>
    </row>
    <row r="155" spans="1:24">
      <c r="A155" s="5"/>
      <c r="B155" s="5"/>
      <c r="C155" s="5"/>
      <c r="D155" s="5"/>
      <c r="E155" s="5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5"/>
      <c r="V155" s="5"/>
      <c r="W155" s="5"/>
      <c r="X155" s="5"/>
    </row>
    <row r="156" spans="1:24">
      <c r="A156" s="5"/>
      <c r="B156" s="5"/>
      <c r="C156" s="5"/>
      <c r="D156" s="5"/>
      <c r="E156" s="5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5"/>
      <c r="V156" s="5"/>
      <c r="W156" s="5"/>
      <c r="X156" s="5"/>
    </row>
    <row r="157" spans="1:24">
      <c r="A157" s="5"/>
      <c r="B157" s="5"/>
      <c r="C157" s="5"/>
      <c r="D157" s="5"/>
      <c r="E157" s="5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5"/>
      <c r="V157" s="5"/>
      <c r="W157" s="5"/>
      <c r="X157" s="5"/>
    </row>
    <row r="158" spans="1:24">
      <c r="A158" s="5"/>
      <c r="B158" s="5"/>
      <c r="C158" s="5"/>
      <c r="D158" s="5"/>
      <c r="E158" s="5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5"/>
      <c r="V158" s="5"/>
      <c r="W158" s="5"/>
      <c r="X158" s="5"/>
    </row>
    <row r="159" spans="1:24">
      <c r="A159" s="5"/>
      <c r="B159" s="5"/>
      <c r="C159" s="5"/>
      <c r="D159" s="5"/>
      <c r="E159" s="5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5"/>
      <c r="V159" s="5"/>
      <c r="W159" s="5"/>
      <c r="X159" s="5"/>
    </row>
    <row r="160" spans="1:24">
      <c r="A160" s="5"/>
      <c r="B160" s="5"/>
      <c r="C160" s="5"/>
      <c r="D160" s="5"/>
      <c r="E160" s="5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5"/>
      <c r="V160" s="5"/>
      <c r="W160" s="5"/>
      <c r="X160" s="5"/>
    </row>
    <row r="161" spans="1:24">
      <c r="A161" s="5"/>
      <c r="B161" s="5"/>
      <c r="C161" s="5"/>
      <c r="D161" s="5"/>
      <c r="E161" s="5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5"/>
      <c r="V161" s="5"/>
      <c r="W161" s="5"/>
      <c r="X161" s="5"/>
    </row>
    <row r="162" spans="1:24">
      <c r="A162" s="5"/>
      <c r="B162" s="5"/>
      <c r="C162" s="5"/>
      <c r="D162" s="5"/>
      <c r="E162" s="5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5"/>
      <c r="V162" s="5"/>
      <c r="W162" s="5"/>
      <c r="X162" s="5"/>
    </row>
    <row r="163" spans="1:24">
      <c r="A163" s="5"/>
      <c r="B163" s="5"/>
      <c r="C163" s="5"/>
      <c r="D163" s="5"/>
      <c r="E163" s="5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5"/>
      <c r="V163" s="5"/>
      <c r="W163" s="5"/>
      <c r="X163" s="5"/>
    </row>
    <row r="164" spans="1:24">
      <c r="A164" s="5"/>
      <c r="B164" s="5"/>
      <c r="C164" s="5"/>
      <c r="D164" s="5"/>
      <c r="E164" s="5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5"/>
      <c r="V164" s="5"/>
      <c r="W164" s="5"/>
      <c r="X164" s="5"/>
    </row>
    <row r="165" spans="1:24">
      <c r="A165" s="5"/>
      <c r="B165" s="5"/>
      <c r="C165" s="5"/>
      <c r="D165" s="5"/>
      <c r="E165" s="5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5"/>
      <c r="V165" s="5"/>
      <c r="W165" s="5"/>
      <c r="X165" s="5"/>
    </row>
    <row r="166" spans="1:24">
      <c r="A166" s="5"/>
      <c r="B166" s="5"/>
      <c r="C166" s="5"/>
      <c r="D166" s="5"/>
      <c r="E166" s="5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5"/>
      <c r="V166" s="5"/>
      <c r="W166" s="5"/>
      <c r="X166" s="5"/>
    </row>
    <row r="167" spans="1:24">
      <c r="A167" s="5"/>
      <c r="B167" s="5"/>
      <c r="C167" s="5"/>
      <c r="D167" s="5"/>
      <c r="E167" s="5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5"/>
      <c r="V167" s="5"/>
      <c r="W167" s="5"/>
      <c r="X167" s="5"/>
    </row>
    <row r="168" spans="1:24">
      <c r="A168" s="5"/>
      <c r="B168" s="5"/>
      <c r="C168" s="5"/>
      <c r="D168" s="5"/>
      <c r="E168" s="5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5"/>
      <c r="V168" s="5"/>
      <c r="W168" s="5"/>
      <c r="X168" s="5"/>
    </row>
    <row r="169" spans="1:24">
      <c r="A169" s="5"/>
      <c r="B169" s="5"/>
      <c r="C169" s="5"/>
      <c r="D169" s="5"/>
      <c r="E169" s="5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5"/>
      <c r="V169" s="5"/>
      <c r="W169" s="5"/>
      <c r="X169" s="5"/>
    </row>
    <row r="170" spans="1:24">
      <c r="A170" s="5"/>
      <c r="B170" s="5"/>
      <c r="C170" s="5"/>
      <c r="D170" s="5"/>
      <c r="E170" s="5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5"/>
      <c r="V170" s="5"/>
      <c r="W170" s="5"/>
      <c r="X170" s="5"/>
    </row>
    <row r="171" spans="1:24">
      <c r="A171" s="5"/>
      <c r="B171" s="5"/>
      <c r="C171" s="5"/>
      <c r="D171" s="5"/>
      <c r="E171" s="5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5"/>
      <c r="V171" s="5"/>
      <c r="W171" s="5"/>
      <c r="X171" s="5"/>
    </row>
    <row r="172" spans="1:24">
      <c r="A172" s="5"/>
      <c r="B172" s="5"/>
      <c r="C172" s="5"/>
      <c r="D172" s="5"/>
      <c r="E172" s="5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5"/>
      <c r="V172" s="5"/>
      <c r="W172" s="5"/>
      <c r="X172" s="5"/>
    </row>
    <row r="173" spans="1:24">
      <c r="A173" s="5"/>
      <c r="B173" s="5"/>
      <c r="C173" s="5"/>
      <c r="D173" s="5"/>
      <c r="E173" s="5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5"/>
      <c r="V173" s="5"/>
      <c r="W173" s="5"/>
      <c r="X173" s="5"/>
    </row>
    <row r="174" spans="1:24">
      <c r="A174" s="5"/>
      <c r="B174" s="5"/>
      <c r="C174" s="5"/>
      <c r="D174" s="5"/>
      <c r="E174" s="5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5"/>
      <c r="V174" s="5"/>
      <c r="W174" s="5"/>
      <c r="X174" s="5"/>
    </row>
    <row r="175" spans="1:24">
      <c r="A175" s="5"/>
      <c r="B175" s="5"/>
      <c r="C175" s="5"/>
      <c r="D175" s="5"/>
      <c r="E175" s="5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5"/>
      <c r="V175" s="5"/>
      <c r="W175" s="5"/>
      <c r="X175" s="5"/>
    </row>
    <row r="176" spans="1:24">
      <c r="A176" s="5"/>
      <c r="B176" s="5"/>
      <c r="C176" s="5"/>
      <c r="D176" s="5"/>
      <c r="E176" s="5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5"/>
      <c r="V176" s="5"/>
      <c r="W176" s="5"/>
      <c r="X176" s="5"/>
    </row>
    <row r="177" spans="1:24">
      <c r="A177" s="5"/>
      <c r="B177" s="5"/>
      <c r="C177" s="5"/>
      <c r="D177" s="5"/>
      <c r="E177" s="5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5"/>
      <c r="V177" s="5"/>
      <c r="W177" s="5"/>
      <c r="X177" s="5"/>
    </row>
    <row r="178" spans="1:24">
      <c r="A178" s="5"/>
      <c r="B178" s="5"/>
      <c r="C178" s="5"/>
      <c r="D178" s="5"/>
      <c r="E178" s="5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5"/>
      <c r="V178" s="5"/>
      <c r="W178" s="5"/>
      <c r="X178" s="5"/>
    </row>
    <row r="179" spans="1:24">
      <c r="A179" s="5"/>
      <c r="B179" s="5"/>
      <c r="C179" s="5"/>
      <c r="D179" s="5"/>
      <c r="E179" s="5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5"/>
      <c r="V179" s="5"/>
      <c r="W179" s="5"/>
      <c r="X179" s="5"/>
    </row>
    <row r="180" spans="1:24">
      <c r="A180" s="5"/>
      <c r="B180" s="5"/>
      <c r="C180" s="5"/>
      <c r="D180" s="5"/>
      <c r="E180" s="5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5"/>
      <c r="V180" s="5"/>
      <c r="W180" s="5"/>
      <c r="X180" s="5"/>
    </row>
    <row r="181" spans="1:24">
      <c r="A181" s="5"/>
      <c r="B181" s="5"/>
      <c r="C181" s="5"/>
      <c r="D181" s="5"/>
      <c r="E181" s="5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5"/>
      <c r="V181" s="5"/>
      <c r="W181" s="5"/>
      <c r="X181" s="5"/>
    </row>
    <row r="182" spans="1:24">
      <c r="A182" s="5"/>
      <c r="B182" s="5"/>
      <c r="C182" s="5"/>
      <c r="D182" s="5"/>
      <c r="E182" s="5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5"/>
      <c r="V182" s="5"/>
      <c r="W182" s="5"/>
      <c r="X182" s="5"/>
    </row>
    <row r="183" spans="1:24">
      <c r="A183" s="5"/>
      <c r="B183" s="5"/>
      <c r="C183" s="5"/>
      <c r="D183" s="5"/>
      <c r="E183" s="5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5"/>
      <c r="V183" s="5"/>
      <c r="W183" s="5"/>
      <c r="X183" s="5"/>
    </row>
    <row r="184" spans="1:24">
      <c r="A184" s="5"/>
      <c r="B184" s="5"/>
      <c r="C184" s="5"/>
      <c r="D184" s="5"/>
      <c r="E184" s="5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5"/>
      <c r="V184" s="5"/>
      <c r="W184" s="5"/>
      <c r="X184" s="5"/>
    </row>
    <row r="185" spans="1:24">
      <c r="A185" s="5"/>
      <c r="B185" s="5"/>
      <c r="C185" s="5"/>
      <c r="D185" s="5"/>
      <c r="E185" s="5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5"/>
      <c r="V185" s="5"/>
      <c r="W185" s="5"/>
      <c r="X185" s="5"/>
    </row>
    <row r="186" spans="1:24">
      <c r="A186" s="5"/>
      <c r="B186" s="5"/>
      <c r="C186" s="5"/>
      <c r="D186" s="5"/>
      <c r="E186" s="5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5"/>
      <c r="V186" s="5"/>
      <c r="W186" s="5"/>
      <c r="X186" s="5"/>
    </row>
    <row r="187" spans="1:24">
      <c r="A187" s="5"/>
      <c r="B187" s="5"/>
      <c r="C187" s="5"/>
      <c r="D187" s="5"/>
      <c r="E187" s="5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5"/>
      <c r="V187" s="5"/>
      <c r="W187" s="5"/>
      <c r="X187" s="5"/>
    </row>
    <row r="188" spans="1:24">
      <c r="A188" s="5"/>
      <c r="B188" s="5"/>
      <c r="C188" s="5"/>
      <c r="D188" s="5"/>
      <c r="E188" s="5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5"/>
      <c r="V188" s="5"/>
      <c r="W188" s="5"/>
      <c r="X188" s="5"/>
    </row>
    <row r="189" spans="1:24">
      <c r="A189" s="5"/>
      <c r="B189" s="5"/>
      <c r="C189" s="5"/>
      <c r="D189" s="5"/>
      <c r="E189" s="5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5"/>
      <c r="V189" s="5"/>
      <c r="W189" s="5"/>
      <c r="X189" s="5"/>
    </row>
    <row r="190" spans="1:24">
      <c r="A190" s="5"/>
      <c r="B190" s="5"/>
      <c r="C190" s="5"/>
      <c r="D190" s="5"/>
      <c r="E190" s="5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5"/>
      <c r="V190" s="5"/>
      <c r="W190" s="5"/>
      <c r="X190" s="5"/>
    </row>
    <row r="191" spans="1:24">
      <c r="A191" s="5"/>
      <c r="B191" s="5"/>
      <c r="C191" s="5"/>
      <c r="D191" s="5"/>
      <c r="E191" s="5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5"/>
      <c r="V191" s="5"/>
      <c r="W191" s="5"/>
      <c r="X191" s="5"/>
    </row>
    <row r="192" spans="1:24">
      <c r="A192" s="5"/>
      <c r="B192" s="5"/>
      <c r="C192" s="5"/>
      <c r="D192" s="5"/>
      <c r="E192" s="5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5"/>
      <c r="V192" s="5"/>
      <c r="W192" s="5"/>
      <c r="X192" s="5"/>
    </row>
    <row r="193" spans="1:24">
      <c r="A193" s="5"/>
      <c r="B193" s="5"/>
      <c r="C193" s="5"/>
      <c r="D193" s="5"/>
      <c r="E193" s="5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5"/>
      <c r="V193" s="5"/>
      <c r="W193" s="5"/>
      <c r="X193" s="5"/>
    </row>
    <row r="194" spans="1:24">
      <c r="A194" s="5"/>
      <c r="B194" s="5"/>
      <c r="C194" s="5"/>
      <c r="D194" s="5"/>
      <c r="E194" s="5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5"/>
      <c r="V194" s="5"/>
      <c r="W194" s="5"/>
      <c r="X194" s="5"/>
    </row>
    <row r="195" spans="1:24">
      <c r="A195" s="5"/>
      <c r="B195" s="5"/>
      <c r="C195" s="5"/>
      <c r="D195" s="5"/>
      <c r="E195" s="5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5"/>
      <c r="V195" s="5"/>
      <c r="W195" s="5"/>
      <c r="X195" s="5"/>
    </row>
    <row r="196" spans="1:24">
      <c r="A196" s="5"/>
      <c r="B196" s="5"/>
      <c r="C196" s="5"/>
      <c r="D196" s="5"/>
      <c r="E196" s="5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5"/>
      <c r="V196" s="5"/>
      <c r="W196" s="5"/>
      <c r="X196" s="5"/>
    </row>
    <row r="197" spans="1:24">
      <c r="A197" s="5"/>
      <c r="B197" s="5"/>
      <c r="C197" s="5"/>
      <c r="D197" s="5"/>
      <c r="E197" s="5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5"/>
      <c r="V197" s="5"/>
      <c r="W197" s="5"/>
      <c r="X197" s="5"/>
    </row>
    <row r="198" spans="1:24">
      <c r="A198" s="5"/>
      <c r="B198" s="5"/>
      <c r="C198" s="5"/>
      <c r="D198" s="5"/>
      <c r="E198" s="5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5"/>
      <c r="V198" s="5"/>
      <c r="W198" s="5"/>
      <c r="X198" s="5"/>
    </row>
    <row r="199" spans="1:24">
      <c r="A199" s="5"/>
      <c r="B199" s="5"/>
      <c r="C199" s="5"/>
      <c r="D199" s="5"/>
      <c r="E199" s="5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5"/>
      <c r="V199" s="5"/>
      <c r="W199" s="5"/>
      <c r="X199" s="5"/>
    </row>
    <row r="200" spans="1:24">
      <c r="A200" s="5"/>
      <c r="B200" s="5"/>
      <c r="C200" s="5"/>
      <c r="D200" s="5"/>
      <c r="E200" s="5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5"/>
      <c r="V200" s="5"/>
      <c r="W200" s="5"/>
      <c r="X200" s="5"/>
    </row>
    <row r="201" spans="1:24">
      <c r="A201" s="5"/>
      <c r="B201" s="5"/>
      <c r="C201" s="5"/>
      <c r="D201" s="5"/>
      <c r="E201" s="5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5"/>
      <c r="V201" s="5"/>
      <c r="W201" s="5"/>
      <c r="X201" s="5"/>
    </row>
    <row r="202" spans="1:24">
      <c r="A202" s="5"/>
      <c r="B202" s="5"/>
      <c r="C202" s="5"/>
      <c r="D202" s="5"/>
      <c r="E202" s="5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5"/>
      <c r="V202" s="5"/>
      <c r="W202" s="5"/>
      <c r="X202" s="5"/>
    </row>
    <row r="203" spans="1:24">
      <c r="A203" s="5"/>
      <c r="B203" s="5"/>
      <c r="C203" s="5"/>
      <c r="D203" s="5"/>
      <c r="E203" s="5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5"/>
      <c r="V203" s="5"/>
      <c r="W203" s="5"/>
      <c r="X203" s="5"/>
    </row>
    <row r="204" spans="1:24">
      <c r="A204" s="5"/>
      <c r="B204" s="5"/>
      <c r="C204" s="5"/>
      <c r="D204" s="5"/>
      <c r="E204" s="5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5"/>
      <c r="V204" s="5"/>
      <c r="W204" s="5"/>
      <c r="X204" s="5"/>
    </row>
    <row r="205" spans="1:24">
      <c r="A205" s="5"/>
      <c r="B205" s="5"/>
      <c r="C205" s="5"/>
      <c r="D205" s="5"/>
      <c r="E205" s="5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5"/>
      <c r="V205" s="5"/>
      <c r="W205" s="5"/>
      <c r="X205" s="5"/>
    </row>
    <row r="206" spans="1:24">
      <c r="A206" s="5"/>
      <c r="B206" s="5"/>
      <c r="C206" s="5"/>
      <c r="D206" s="5"/>
      <c r="E206" s="5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5"/>
      <c r="V206" s="5"/>
      <c r="W206" s="5"/>
      <c r="X206" s="5"/>
    </row>
    <row r="207" spans="1:24">
      <c r="A207" s="5"/>
      <c r="B207" s="5"/>
      <c r="C207" s="5"/>
      <c r="D207" s="5"/>
      <c r="E207" s="5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5"/>
      <c r="V207" s="5"/>
      <c r="W207" s="5"/>
      <c r="X207" s="5"/>
    </row>
    <row r="208" spans="1:24">
      <c r="A208" s="5"/>
      <c r="B208" s="5"/>
      <c r="C208" s="5"/>
      <c r="D208" s="5"/>
      <c r="E208" s="5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5"/>
      <c r="V208" s="5"/>
      <c r="W208" s="5"/>
      <c r="X208" s="5"/>
    </row>
    <row r="209" spans="1:24">
      <c r="A209" s="5"/>
      <c r="B209" s="5"/>
      <c r="C209" s="5"/>
      <c r="D209" s="5"/>
      <c r="E209" s="5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5"/>
      <c r="V209" s="5"/>
      <c r="W209" s="5"/>
      <c r="X209" s="5"/>
    </row>
    <row r="210" spans="1:24">
      <c r="A210" s="5"/>
      <c r="B210" s="5"/>
      <c r="C210" s="5"/>
      <c r="D210" s="5"/>
      <c r="E210" s="5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5"/>
      <c r="V210" s="5"/>
      <c r="W210" s="5"/>
      <c r="X210" s="5"/>
    </row>
    <row r="211" spans="1:24">
      <c r="A211" s="5"/>
      <c r="B211" s="5"/>
      <c r="C211" s="5"/>
      <c r="D211" s="5"/>
      <c r="E211" s="5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5"/>
      <c r="V211" s="5"/>
      <c r="W211" s="5"/>
      <c r="X211" s="5"/>
    </row>
    <row r="212" spans="1:24">
      <c r="A212" s="5"/>
      <c r="B212" s="5"/>
      <c r="C212" s="5"/>
      <c r="D212" s="5"/>
      <c r="E212" s="5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5"/>
      <c r="V212" s="5"/>
      <c r="W212" s="5"/>
      <c r="X212" s="5"/>
    </row>
    <row r="213" spans="1:24">
      <c r="A213" s="5"/>
      <c r="B213" s="5"/>
      <c r="C213" s="5"/>
      <c r="D213" s="5"/>
      <c r="E213" s="5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5"/>
      <c r="V213" s="5"/>
      <c r="W213" s="5"/>
      <c r="X213" s="5"/>
    </row>
    <row r="214" spans="1:24">
      <c r="A214" s="5"/>
      <c r="B214" s="5"/>
      <c r="C214" s="5"/>
      <c r="D214" s="5"/>
      <c r="E214" s="5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5"/>
      <c r="V214" s="5"/>
      <c r="W214" s="5"/>
      <c r="X214" s="5"/>
    </row>
    <row r="215" spans="1:24">
      <c r="A215" s="5"/>
      <c r="B215" s="5"/>
      <c r="C215" s="5"/>
      <c r="D215" s="5"/>
      <c r="E215" s="5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5"/>
      <c r="V215" s="5"/>
      <c r="W215" s="5"/>
      <c r="X215" s="5"/>
    </row>
    <row r="216" spans="1:24">
      <c r="A216" s="5"/>
      <c r="B216" s="5"/>
      <c r="C216" s="5"/>
      <c r="D216" s="5"/>
      <c r="E216" s="5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5"/>
      <c r="V216" s="5"/>
      <c r="W216" s="5"/>
      <c r="X216" s="5"/>
    </row>
    <row r="217" spans="1:24">
      <c r="A217" s="5"/>
      <c r="B217" s="5"/>
      <c r="C217" s="5"/>
      <c r="D217" s="5"/>
      <c r="E217" s="5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5"/>
      <c r="V217" s="5"/>
      <c r="W217" s="5"/>
      <c r="X217" s="5"/>
    </row>
    <row r="218" spans="1:24">
      <c r="A218" s="5"/>
      <c r="B218" s="5"/>
      <c r="C218" s="5"/>
      <c r="D218" s="5"/>
      <c r="E218" s="5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5"/>
      <c r="V218" s="5"/>
      <c r="W218" s="5"/>
      <c r="X218" s="5"/>
    </row>
    <row r="219" spans="1:24">
      <c r="A219" s="5"/>
      <c r="B219" s="5"/>
      <c r="C219" s="5"/>
      <c r="D219" s="5"/>
      <c r="E219" s="5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5"/>
      <c r="V219" s="5"/>
      <c r="W219" s="5"/>
      <c r="X219" s="5"/>
    </row>
    <row r="220" spans="1:24">
      <c r="A220" s="5"/>
      <c r="B220" s="5"/>
      <c r="C220" s="5"/>
      <c r="D220" s="5"/>
      <c r="E220" s="5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5"/>
      <c r="V220" s="5"/>
      <c r="W220" s="5"/>
      <c r="X220" s="5"/>
    </row>
    <row r="221" spans="1:24">
      <c r="A221" s="5"/>
      <c r="B221" s="5"/>
      <c r="C221" s="5"/>
      <c r="D221" s="5"/>
      <c r="E221" s="5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5"/>
      <c r="V221" s="5"/>
      <c r="W221" s="5"/>
      <c r="X221" s="5"/>
    </row>
    <row r="222" spans="1:24">
      <c r="A222" s="5"/>
      <c r="B222" s="5"/>
      <c r="C222" s="5"/>
      <c r="D222" s="5"/>
      <c r="E222" s="5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5"/>
      <c r="V222" s="5"/>
      <c r="W222" s="5"/>
      <c r="X222" s="5"/>
    </row>
    <row r="223" spans="1:24">
      <c r="A223" s="5"/>
      <c r="B223" s="5"/>
      <c r="C223" s="5"/>
      <c r="D223" s="5"/>
      <c r="E223" s="5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5"/>
      <c r="V223" s="5"/>
      <c r="W223" s="5"/>
      <c r="X223" s="5"/>
    </row>
    <row r="224" spans="1:24">
      <c r="A224" s="5"/>
      <c r="B224" s="5"/>
      <c r="C224" s="5"/>
      <c r="D224" s="5"/>
      <c r="E224" s="5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5"/>
      <c r="V224" s="5"/>
      <c r="W224" s="5"/>
      <c r="X224" s="5"/>
    </row>
    <row r="225" spans="1:24">
      <c r="A225" s="5"/>
      <c r="B225" s="5"/>
      <c r="C225" s="5"/>
      <c r="D225" s="5"/>
      <c r="E225" s="5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5"/>
      <c r="V225" s="5"/>
      <c r="W225" s="5"/>
      <c r="X225" s="5"/>
    </row>
    <row r="226" spans="1:24">
      <c r="A226" s="5"/>
      <c r="B226" s="5"/>
      <c r="C226" s="5"/>
      <c r="D226" s="5"/>
      <c r="E226" s="5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5"/>
      <c r="V226" s="5"/>
      <c r="W226" s="5"/>
      <c r="X226" s="5"/>
    </row>
    <row r="227" spans="1:24">
      <c r="A227" s="5"/>
      <c r="B227" s="5"/>
      <c r="C227" s="5"/>
      <c r="D227" s="5"/>
      <c r="E227" s="5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5"/>
      <c r="V227" s="5"/>
      <c r="W227" s="5"/>
      <c r="X227" s="5"/>
    </row>
    <row r="228" spans="1:24">
      <c r="A228" s="5"/>
      <c r="B228" s="5"/>
      <c r="C228" s="5"/>
      <c r="D228" s="5"/>
      <c r="E228" s="5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5"/>
      <c r="V228" s="5"/>
      <c r="W228" s="5"/>
      <c r="X228" s="5"/>
    </row>
    <row r="229" spans="1:24">
      <c r="A229" s="5"/>
      <c r="B229" s="5"/>
      <c r="C229" s="5"/>
      <c r="D229" s="5"/>
      <c r="E229" s="5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5"/>
      <c r="V229" s="5"/>
      <c r="W229" s="5"/>
      <c r="X229" s="5"/>
    </row>
    <row r="230" spans="1:24">
      <c r="A230" s="5"/>
      <c r="B230" s="5"/>
      <c r="C230" s="5"/>
      <c r="D230" s="5"/>
      <c r="E230" s="5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5"/>
      <c r="V230" s="5"/>
      <c r="W230" s="5"/>
      <c r="X230" s="5"/>
    </row>
    <row r="231" spans="1:24">
      <c r="A231" s="5"/>
      <c r="B231" s="5"/>
      <c r="C231" s="5"/>
      <c r="D231" s="5"/>
      <c r="E231" s="5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5"/>
      <c r="V231" s="5"/>
      <c r="W231" s="5"/>
      <c r="X231" s="5"/>
    </row>
    <row r="232" spans="1:24">
      <c r="A232" s="5"/>
      <c r="B232" s="5"/>
      <c r="C232" s="5"/>
      <c r="D232" s="5"/>
      <c r="E232" s="5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5"/>
      <c r="V232" s="5"/>
      <c r="W232" s="5"/>
      <c r="X232" s="5"/>
    </row>
    <row r="233" spans="1:24">
      <c r="A233" s="5"/>
      <c r="B233" s="5"/>
      <c r="C233" s="5"/>
      <c r="D233" s="5"/>
      <c r="E233" s="5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5"/>
      <c r="V233" s="5"/>
      <c r="W233" s="5"/>
      <c r="X233" s="5"/>
    </row>
    <row r="234" spans="1:24">
      <c r="A234" s="5"/>
      <c r="B234" s="5"/>
      <c r="C234" s="5"/>
      <c r="D234" s="5"/>
      <c r="E234" s="5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5"/>
      <c r="V234" s="5"/>
      <c r="W234" s="5"/>
      <c r="X234" s="5"/>
    </row>
    <row r="235" spans="1:24">
      <c r="A235" s="5"/>
      <c r="B235" s="5"/>
      <c r="C235" s="5"/>
      <c r="D235" s="5"/>
      <c r="E235" s="5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5"/>
      <c r="V235" s="5"/>
      <c r="W235" s="5"/>
      <c r="X235" s="5"/>
    </row>
    <row r="236" spans="1:24">
      <c r="A236" s="5"/>
      <c r="B236" s="5"/>
      <c r="C236" s="5"/>
      <c r="D236" s="5"/>
      <c r="E236" s="5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5"/>
      <c r="V236" s="5"/>
      <c r="W236" s="5"/>
      <c r="X236" s="5"/>
    </row>
    <row r="237" spans="1:24">
      <c r="A237" s="5"/>
      <c r="B237" s="5"/>
      <c r="C237" s="5"/>
      <c r="D237" s="5"/>
      <c r="E237" s="5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5"/>
      <c r="V237" s="5"/>
      <c r="W237" s="5"/>
      <c r="X237" s="5"/>
    </row>
    <row r="238" spans="1:24">
      <c r="A238" s="5"/>
      <c r="B238" s="5"/>
      <c r="C238" s="5"/>
      <c r="D238" s="5"/>
      <c r="E238" s="5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5"/>
      <c r="V238" s="5"/>
      <c r="W238" s="5"/>
      <c r="X238" s="5"/>
    </row>
    <row r="239" spans="1:24">
      <c r="A239" s="5"/>
      <c r="B239" s="5"/>
      <c r="C239" s="5"/>
      <c r="D239" s="5"/>
      <c r="E239" s="5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5"/>
      <c r="V239" s="5"/>
      <c r="W239" s="5"/>
      <c r="X239" s="5"/>
    </row>
    <row r="240" spans="1:24">
      <c r="A240" s="5"/>
      <c r="B240" s="5"/>
      <c r="C240" s="5"/>
      <c r="D240" s="5"/>
      <c r="E240" s="5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5"/>
      <c r="V240" s="5"/>
      <c r="W240" s="5"/>
      <c r="X240" s="5"/>
    </row>
    <row r="241" spans="1:24">
      <c r="A241" s="5"/>
      <c r="B241" s="5"/>
      <c r="C241" s="5"/>
      <c r="D241" s="5"/>
      <c r="E241" s="5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5"/>
      <c r="V241" s="5"/>
      <c r="W241" s="5"/>
      <c r="X241" s="5"/>
    </row>
    <row r="242" spans="1:24">
      <c r="A242" s="5"/>
      <c r="B242" s="5"/>
      <c r="C242" s="5"/>
      <c r="D242" s="5"/>
      <c r="E242" s="5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5"/>
      <c r="V242" s="5"/>
      <c r="W242" s="5"/>
      <c r="X242" s="5"/>
    </row>
    <row r="243" spans="1:24">
      <c r="A243" s="5"/>
      <c r="B243" s="5"/>
      <c r="C243" s="5"/>
      <c r="D243" s="5"/>
      <c r="E243" s="5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5"/>
      <c r="V243" s="5"/>
      <c r="W243" s="5"/>
      <c r="X243" s="5"/>
    </row>
    <row r="244" spans="1:24">
      <c r="A244" s="5"/>
      <c r="B244" s="5"/>
      <c r="C244" s="5"/>
      <c r="D244" s="5"/>
      <c r="E244" s="5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5"/>
      <c r="V244" s="5"/>
      <c r="W244" s="5"/>
      <c r="X244" s="5"/>
    </row>
    <row r="245" spans="1:24">
      <c r="A245" s="5"/>
      <c r="B245" s="5"/>
      <c r="C245" s="5"/>
      <c r="D245" s="5"/>
      <c r="E245" s="5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5"/>
      <c r="V245" s="5"/>
      <c r="W245" s="5"/>
      <c r="X245" s="5"/>
    </row>
    <row r="246" spans="1:24">
      <c r="A246" s="5"/>
      <c r="B246" s="5"/>
      <c r="C246" s="5"/>
      <c r="D246" s="5"/>
      <c r="E246" s="5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5"/>
      <c r="V246" s="5"/>
      <c r="W246" s="5"/>
      <c r="X246" s="5"/>
    </row>
    <row r="247" spans="1:24">
      <c r="A247" s="5"/>
      <c r="B247" s="5"/>
      <c r="C247" s="5"/>
      <c r="D247" s="5"/>
      <c r="E247" s="5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5"/>
      <c r="V247" s="5"/>
      <c r="W247" s="5"/>
      <c r="X247" s="5"/>
    </row>
    <row r="248" spans="1:24">
      <c r="A248" s="5"/>
      <c r="B248" s="5"/>
      <c r="C248" s="5"/>
      <c r="D248" s="5"/>
      <c r="E248" s="5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5"/>
      <c r="V248" s="5"/>
      <c r="W248" s="5"/>
      <c r="X248" s="5"/>
    </row>
    <row r="249" spans="1:24">
      <c r="A249" s="5"/>
      <c r="B249" s="5"/>
      <c r="C249" s="5"/>
      <c r="D249" s="5"/>
      <c r="E249" s="5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5"/>
      <c r="V249" s="5"/>
      <c r="W249" s="5"/>
      <c r="X249" s="5"/>
    </row>
    <row r="250" spans="1:24">
      <c r="A250" s="5"/>
      <c r="B250" s="5"/>
      <c r="C250" s="5"/>
      <c r="D250" s="5"/>
      <c r="E250" s="5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5"/>
      <c r="V250" s="5"/>
      <c r="W250" s="5"/>
      <c r="X250" s="5"/>
    </row>
    <row r="251" spans="1:24">
      <c r="A251" s="5"/>
      <c r="B251" s="5"/>
      <c r="C251" s="5"/>
      <c r="D251" s="5"/>
      <c r="E251" s="5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5"/>
      <c r="V251" s="5"/>
      <c r="W251" s="5"/>
      <c r="X251" s="5"/>
    </row>
    <row r="252" spans="1:24">
      <c r="A252" s="5"/>
      <c r="B252" s="5"/>
      <c r="C252" s="5"/>
      <c r="D252" s="5"/>
      <c r="E252" s="5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5"/>
      <c r="V252" s="5"/>
      <c r="W252" s="5"/>
      <c r="X252" s="5"/>
    </row>
    <row r="253" spans="1:24">
      <c r="A253" s="5"/>
      <c r="B253" s="5"/>
      <c r="C253" s="5"/>
      <c r="D253" s="5"/>
      <c r="E253" s="5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5"/>
      <c r="V253" s="5"/>
      <c r="W253" s="5"/>
      <c r="X253" s="5"/>
    </row>
    <row r="254" spans="1:24">
      <c r="A254" s="5"/>
      <c r="B254" s="5"/>
      <c r="C254" s="5"/>
      <c r="D254" s="5"/>
      <c r="E254" s="5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5"/>
      <c r="V254" s="5"/>
      <c r="W254" s="5"/>
      <c r="X254" s="5"/>
    </row>
    <row r="255" spans="1:24">
      <c r="A255" s="5"/>
      <c r="B255" s="5"/>
      <c r="C255" s="5"/>
      <c r="D255" s="5"/>
      <c r="E255" s="5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5"/>
      <c r="V255" s="5"/>
      <c r="W255" s="5"/>
      <c r="X255" s="5"/>
    </row>
    <row r="256" spans="1:24">
      <c r="A256" s="5"/>
      <c r="B256" s="5"/>
      <c r="C256" s="5"/>
      <c r="D256" s="5"/>
      <c r="E256" s="5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5"/>
      <c r="V256" s="5"/>
      <c r="W256" s="5"/>
      <c r="X256" s="5"/>
    </row>
    <row r="257" spans="1:24">
      <c r="A257" s="5"/>
      <c r="B257" s="5"/>
      <c r="C257" s="5"/>
      <c r="D257" s="5"/>
      <c r="E257" s="5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5"/>
      <c r="V257" s="5"/>
      <c r="W257" s="5"/>
      <c r="X257" s="5"/>
    </row>
    <row r="258" spans="1:24">
      <c r="A258" s="5"/>
      <c r="B258" s="5"/>
      <c r="C258" s="5"/>
      <c r="D258" s="5"/>
      <c r="E258" s="5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5"/>
      <c r="V258" s="5"/>
      <c r="W258" s="5"/>
      <c r="X258" s="5"/>
    </row>
    <row r="259" spans="1:24">
      <c r="A259" s="5"/>
      <c r="B259" s="5"/>
      <c r="C259" s="5"/>
      <c r="D259" s="5"/>
      <c r="E259" s="5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5"/>
      <c r="V259" s="5"/>
      <c r="W259" s="5"/>
      <c r="X259" s="5"/>
    </row>
    <row r="260" spans="1:24">
      <c r="A260" s="5"/>
      <c r="B260" s="5"/>
      <c r="C260" s="5"/>
      <c r="D260" s="5"/>
      <c r="E260" s="5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5"/>
      <c r="V260" s="5"/>
      <c r="W260" s="5"/>
      <c r="X260" s="5"/>
    </row>
    <row r="261" spans="1:24">
      <c r="A261" s="5"/>
      <c r="B261" s="5"/>
      <c r="C261" s="5"/>
      <c r="D261" s="5"/>
      <c r="E261" s="5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5"/>
      <c r="V261" s="5"/>
      <c r="W261" s="5"/>
      <c r="X261" s="5"/>
    </row>
    <row r="262" spans="1:24">
      <c r="A262" s="5"/>
      <c r="B262" s="5"/>
      <c r="C262" s="5"/>
      <c r="D262" s="5"/>
      <c r="E262" s="5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5"/>
      <c r="V262" s="5"/>
      <c r="W262" s="5"/>
      <c r="X262" s="5"/>
    </row>
    <row r="263" spans="1:24">
      <c r="A263" s="5"/>
      <c r="B263" s="5"/>
      <c r="C263" s="5"/>
      <c r="D263" s="5"/>
      <c r="E263" s="5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5"/>
      <c r="V263" s="5"/>
      <c r="W263" s="5"/>
      <c r="X263" s="5"/>
    </row>
    <row r="264" spans="1:24">
      <c r="A264" s="5"/>
      <c r="B264" s="5"/>
      <c r="C264" s="5"/>
      <c r="D264" s="5"/>
      <c r="E264" s="5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5"/>
      <c r="V264" s="5"/>
      <c r="W264" s="5"/>
      <c r="X264" s="5"/>
    </row>
    <row r="265" spans="1:24">
      <c r="A265" s="5"/>
      <c r="B265" s="5"/>
      <c r="C265" s="5"/>
      <c r="D265" s="5"/>
      <c r="E265" s="5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5"/>
      <c r="V265" s="5"/>
      <c r="W265" s="5"/>
      <c r="X265" s="5"/>
    </row>
    <row r="266" spans="1:24">
      <c r="A266" s="5"/>
      <c r="B266" s="5"/>
      <c r="C266" s="5"/>
      <c r="D266" s="5"/>
      <c r="E266" s="5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5"/>
      <c r="V266" s="5"/>
      <c r="W266" s="5"/>
      <c r="X266" s="5"/>
    </row>
    <row r="267" spans="1:24">
      <c r="A267" s="5"/>
      <c r="B267" s="5"/>
      <c r="C267" s="5"/>
      <c r="D267" s="5"/>
      <c r="E267" s="5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5"/>
      <c r="V267" s="5"/>
      <c r="W267" s="5"/>
      <c r="X267" s="5"/>
    </row>
    <row r="268" spans="1:24">
      <c r="A268" s="5"/>
      <c r="B268" s="5"/>
      <c r="C268" s="5"/>
      <c r="D268" s="5"/>
      <c r="E268" s="5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5"/>
      <c r="V268" s="5"/>
      <c r="W268" s="5"/>
      <c r="X268" s="5"/>
    </row>
    <row r="269" spans="1:24">
      <c r="A269" s="5"/>
      <c r="B269" s="5"/>
      <c r="C269" s="5"/>
      <c r="D269" s="5"/>
      <c r="E269" s="5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5"/>
      <c r="V269" s="5"/>
      <c r="W269" s="5"/>
      <c r="X269" s="5"/>
    </row>
    <row r="270" spans="1:24">
      <c r="A270" s="5"/>
      <c r="B270" s="5"/>
      <c r="C270" s="5"/>
      <c r="D270" s="5"/>
      <c r="E270" s="5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5"/>
      <c r="V270" s="5"/>
      <c r="W270" s="5"/>
      <c r="X270" s="5"/>
    </row>
    <row r="271" spans="1:24">
      <c r="A271" s="5"/>
      <c r="B271" s="5"/>
      <c r="C271" s="5"/>
      <c r="D271" s="5"/>
      <c r="E271" s="5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5"/>
      <c r="V271" s="5"/>
      <c r="W271" s="5"/>
      <c r="X271" s="5"/>
    </row>
    <row r="272" spans="1:24">
      <c r="A272" s="5"/>
      <c r="B272" s="5"/>
      <c r="C272" s="5"/>
      <c r="D272" s="5"/>
      <c r="E272" s="5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5"/>
      <c r="V272" s="5"/>
      <c r="W272" s="5"/>
      <c r="X272" s="5"/>
    </row>
    <row r="273" spans="1:24">
      <c r="A273" s="5"/>
      <c r="B273" s="5"/>
      <c r="C273" s="5"/>
      <c r="D273" s="5"/>
      <c r="E273" s="5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5"/>
      <c r="V273" s="5"/>
      <c r="W273" s="5"/>
      <c r="X273" s="5"/>
    </row>
    <row r="274" spans="1:24">
      <c r="A274" s="5"/>
      <c r="B274" s="5"/>
      <c r="C274" s="5"/>
      <c r="D274" s="5"/>
      <c r="E274" s="5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5"/>
      <c r="V274" s="5"/>
      <c r="W274" s="5"/>
      <c r="X274" s="5"/>
    </row>
    <row r="275" spans="1:24">
      <c r="A275" s="5"/>
      <c r="B275" s="5"/>
      <c r="C275" s="5"/>
      <c r="D275" s="5"/>
      <c r="E275" s="5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5"/>
      <c r="V275" s="5"/>
      <c r="W275" s="5"/>
      <c r="X275" s="5"/>
    </row>
    <row r="276" spans="1:24">
      <c r="A276" s="5"/>
      <c r="B276" s="5"/>
      <c r="C276" s="5"/>
      <c r="D276" s="5"/>
      <c r="E276" s="5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5"/>
      <c r="V276" s="5"/>
      <c r="W276" s="5"/>
      <c r="X276" s="5"/>
    </row>
    <row r="277" spans="1:24">
      <c r="A277" s="5"/>
      <c r="B277" s="5"/>
      <c r="C277" s="5"/>
      <c r="D277" s="5"/>
      <c r="E277" s="5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5"/>
      <c r="V277" s="5"/>
      <c r="W277" s="5"/>
      <c r="X277" s="5"/>
    </row>
    <row r="278" spans="1:24">
      <c r="A278" s="5"/>
      <c r="B278" s="5"/>
      <c r="C278" s="5"/>
      <c r="D278" s="5"/>
      <c r="E278" s="5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5"/>
      <c r="V278" s="5"/>
      <c r="W278" s="5"/>
      <c r="X278" s="5"/>
    </row>
    <row r="279" spans="1:24">
      <c r="A279" s="5"/>
      <c r="B279" s="5"/>
      <c r="C279" s="5"/>
      <c r="D279" s="5"/>
      <c r="E279" s="5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5"/>
      <c r="V279" s="5"/>
      <c r="W279" s="5"/>
      <c r="X279" s="5"/>
    </row>
    <row r="280" spans="1:24">
      <c r="A280" s="5"/>
      <c r="B280" s="5"/>
      <c r="C280" s="5"/>
      <c r="D280" s="5"/>
      <c r="E280" s="5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5"/>
      <c r="V280" s="5"/>
      <c r="W280" s="5"/>
      <c r="X280" s="5"/>
    </row>
    <row r="281" spans="1:24">
      <c r="A281" s="5"/>
      <c r="B281" s="5"/>
      <c r="C281" s="5"/>
      <c r="D281" s="5"/>
      <c r="E281" s="5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5"/>
      <c r="V281" s="5"/>
      <c r="W281" s="5"/>
      <c r="X281" s="5"/>
    </row>
    <row r="282" spans="1:24">
      <c r="A282" s="5"/>
      <c r="B282" s="5"/>
      <c r="C282" s="5"/>
      <c r="D282" s="5"/>
      <c r="E282" s="5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5"/>
      <c r="V282" s="5"/>
      <c r="W282" s="5"/>
      <c r="X282" s="5"/>
    </row>
    <row r="283" spans="1:24">
      <c r="A283" s="5"/>
      <c r="B283" s="5"/>
      <c r="C283" s="5"/>
      <c r="D283" s="5"/>
      <c r="E283" s="5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5"/>
      <c r="V283" s="5"/>
      <c r="W283" s="5"/>
      <c r="X283" s="5"/>
    </row>
    <row r="284" spans="1:24">
      <c r="A284" s="5"/>
      <c r="B284" s="5"/>
      <c r="C284" s="5"/>
      <c r="D284" s="5"/>
      <c r="E284" s="5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5"/>
      <c r="V284" s="5"/>
      <c r="W284" s="5"/>
      <c r="X284" s="5"/>
    </row>
    <row r="285" spans="1:24">
      <c r="A285" s="5"/>
      <c r="B285" s="5"/>
      <c r="C285" s="5"/>
      <c r="D285" s="5"/>
      <c r="E285" s="5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5"/>
      <c r="V285" s="5"/>
      <c r="W285" s="5"/>
      <c r="X285" s="5"/>
    </row>
    <row r="286" spans="1:24">
      <c r="A286" s="5"/>
      <c r="B286" s="5"/>
      <c r="C286" s="5"/>
      <c r="D286" s="5"/>
      <c r="E286" s="5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5"/>
      <c r="V286" s="5"/>
      <c r="W286" s="5"/>
      <c r="X286" s="5"/>
    </row>
    <row r="287" spans="1:24">
      <c r="A287" s="5"/>
      <c r="B287" s="5"/>
      <c r="C287" s="5"/>
      <c r="D287" s="5"/>
      <c r="E287" s="5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5"/>
      <c r="V287" s="5"/>
      <c r="W287" s="5"/>
      <c r="X287" s="5"/>
    </row>
    <row r="288" spans="1:24">
      <c r="A288" s="5"/>
      <c r="B288" s="5"/>
      <c r="C288" s="5"/>
      <c r="D288" s="5"/>
      <c r="E288" s="5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5"/>
      <c r="V288" s="5"/>
      <c r="W288" s="5"/>
      <c r="X288" s="5"/>
    </row>
    <row r="289" spans="1:24">
      <c r="A289" s="5"/>
      <c r="B289" s="5"/>
      <c r="C289" s="5"/>
      <c r="D289" s="5"/>
      <c r="E289" s="5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5"/>
      <c r="V289" s="5"/>
      <c r="W289" s="5"/>
      <c r="X289" s="5"/>
    </row>
    <row r="290" spans="1:24">
      <c r="A290" s="5"/>
      <c r="B290" s="5"/>
      <c r="C290" s="5"/>
      <c r="D290" s="5"/>
      <c r="E290" s="5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5"/>
      <c r="V290" s="5"/>
      <c r="W290" s="5"/>
      <c r="X290" s="5"/>
    </row>
    <row r="291" spans="1:24">
      <c r="A291" s="5"/>
      <c r="B291" s="5"/>
      <c r="C291" s="5"/>
      <c r="D291" s="5"/>
      <c r="E291" s="5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5"/>
      <c r="V291" s="5"/>
      <c r="W291" s="5"/>
      <c r="X291" s="5"/>
    </row>
    <row r="292" spans="1:24">
      <c r="A292" s="5"/>
      <c r="B292" s="5"/>
      <c r="C292" s="5"/>
      <c r="D292" s="5"/>
      <c r="E292" s="5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5"/>
      <c r="V292" s="5"/>
      <c r="W292" s="5"/>
      <c r="X292" s="5"/>
    </row>
    <row r="293" spans="1:24">
      <c r="A293" s="5"/>
      <c r="B293" s="5"/>
      <c r="C293" s="5"/>
      <c r="D293" s="5"/>
      <c r="E293" s="5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5"/>
      <c r="V293" s="5"/>
      <c r="W293" s="5"/>
      <c r="X293" s="5"/>
    </row>
    <row r="294" spans="1:24">
      <c r="A294" s="5"/>
      <c r="B294" s="5"/>
      <c r="C294" s="5"/>
      <c r="D294" s="5"/>
      <c r="E294" s="5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5"/>
      <c r="V294" s="5"/>
      <c r="W294" s="5"/>
      <c r="X294" s="5"/>
    </row>
    <row r="295" spans="1:24">
      <c r="A295" s="5"/>
      <c r="B295" s="5"/>
      <c r="C295" s="5"/>
      <c r="D295" s="5"/>
      <c r="E295" s="5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5"/>
      <c r="V295" s="5"/>
      <c r="W295" s="5"/>
      <c r="X295" s="5"/>
    </row>
    <row r="296" spans="1:24">
      <c r="A296" s="5"/>
      <c r="B296" s="5"/>
      <c r="C296" s="5"/>
      <c r="D296" s="5"/>
      <c r="E296" s="5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5"/>
      <c r="V296" s="5"/>
      <c r="W296" s="5"/>
      <c r="X296" s="5"/>
    </row>
    <row r="297" spans="1:24">
      <c r="A297" s="5"/>
      <c r="B297" s="5"/>
      <c r="C297" s="5"/>
      <c r="D297" s="5"/>
      <c r="E297" s="5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5"/>
      <c r="V297" s="5"/>
      <c r="W297" s="5"/>
      <c r="X297" s="5"/>
    </row>
    <row r="298" spans="1:24">
      <c r="A298" s="5"/>
      <c r="B298" s="5"/>
      <c r="C298" s="5"/>
      <c r="D298" s="5"/>
      <c r="E298" s="5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5"/>
      <c r="V298" s="5"/>
      <c r="W298" s="5"/>
      <c r="X298" s="5"/>
    </row>
    <row r="299" spans="1:24">
      <c r="A299" s="5"/>
      <c r="B299" s="5"/>
      <c r="C299" s="5"/>
      <c r="D299" s="5"/>
      <c r="E299" s="5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5"/>
      <c r="V299" s="5"/>
      <c r="W299" s="5"/>
      <c r="X299" s="5"/>
    </row>
    <row r="300" spans="1:24">
      <c r="A300" s="5"/>
      <c r="B300" s="5"/>
      <c r="C300" s="5"/>
      <c r="D300" s="5"/>
      <c r="E300" s="5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5"/>
      <c r="V300" s="5"/>
      <c r="W300" s="5"/>
      <c r="X300" s="5"/>
    </row>
    <row r="301" spans="1:24">
      <c r="A301" s="5"/>
      <c r="B301" s="5"/>
      <c r="C301" s="5"/>
      <c r="D301" s="5"/>
      <c r="E301" s="5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5"/>
      <c r="V301" s="5"/>
      <c r="W301" s="5"/>
      <c r="X301" s="5"/>
    </row>
    <row r="302" spans="1:24">
      <c r="A302" s="5"/>
      <c r="B302" s="5"/>
      <c r="C302" s="5"/>
      <c r="D302" s="5"/>
      <c r="E302" s="5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5"/>
      <c r="V302" s="5"/>
      <c r="W302" s="5"/>
      <c r="X302" s="5"/>
    </row>
    <row r="303" spans="1:24">
      <c r="A303" s="5"/>
      <c r="B303" s="5"/>
      <c r="C303" s="5"/>
      <c r="D303" s="5"/>
      <c r="E303" s="5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5"/>
      <c r="V303" s="5"/>
      <c r="W303" s="5"/>
      <c r="X303" s="5"/>
    </row>
    <row r="304" spans="1:24">
      <c r="A304" s="5"/>
      <c r="B304" s="5"/>
      <c r="C304" s="5"/>
      <c r="D304" s="5"/>
      <c r="E304" s="5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5"/>
      <c r="V304" s="5"/>
      <c r="W304" s="5"/>
      <c r="X304" s="5"/>
    </row>
    <row r="305" spans="1:24">
      <c r="A305" s="5"/>
      <c r="B305" s="5"/>
      <c r="C305" s="5"/>
      <c r="D305" s="5"/>
      <c r="E305" s="5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5"/>
      <c r="V305" s="5"/>
      <c r="W305" s="5"/>
      <c r="X305" s="5"/>
    </row>
    <row r="306" spans="1:24">
      <c r="A306" s="5"/>
      <c r="B306" s="5"/>
      <c r="C306" s="5"/>
      <c r="D306" s="5"/>
      <c r="E306" s="5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5"/>
      <c r="V306" s="5"/>
      <c r="W306" s="5"/>
      <c r="X306" s="5"/>
    </row>
    <row r="307" spans="1:24">
      <c r="A307" s="5"/>
      <c r="B307" s="5"/>
      <c r="C307" s="5"/>
      <c r="D307" s="5"/>
      <c r="E307" s="5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5"/>
      <c r="V307" s="5"/>
      <c r="W307" s="5"/>
      <c r="X307" s="5"/>
    </row>
    <row r="308" spans="1:24">
      <c r="A308" s="5"/>
      <c r="B308" s="5"/>
      <c r="C308" s="5"/>
      <c r="D308" s="5"/>
      <c r="E308" s="5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5"/>
      <c r="V308" s="5"/>
      <c r="W308" s="5"/>
      <c r="X308" s="5"/>
    </row>
    <row r="309" spans="1:24">
      <c r="A309" s="5"/>
      <c r="B309" s="5"/>
      <c r="C309" s="5"/>
      <c r="D309" s="5"/>
      <c r="E309" s="5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5"/>
      <c r="V309" s="5"/>
      <c r="W309" s="5"/>
      <c r="X309" s="5"/>
    </row>
    <row r="310" spans="1:24">
      <c r="A310" s="5"/>
      <c r="B310" s="5"/>
      <c r="C310" s="5"/>
      <c r="D310" s="5"/>
      <c r="E310" s="5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5"/>
      <c r="V310" s="5"/>
      <c r="W310" s="5"/>
      <c r="X310" s="5"/>
    </row>
    <row r="311" spans="1:24">
      <c r="A311" s="5"/>
      <c r="B311" s="5"/>
      <c r="C311" s="5"/>
      <c r="D311" s="5"/>
      <c r="E311" s="5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5"/>
      <c r="V311" s="5"/>
      <c r="W311" s="5"/>
      <c r="X311" s="5"/>
    </row>
    <row r="312" spans="1:24">
      <c r="A312" s="5"/>
      <c r="B312" s="5"/>
      <c r="C312" s="5"/>
      <c r="D312" s="5"/>
      <c r="E312" s="5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5"/>
      <c r="V312" s="5"/>
      <c r="W312" s="5"/>
      <c r="X312" s="5"/>
    </row>
    <row r="313" spans="1:24">
      <c r="A313" s="5"/>
      <c r="B313" s="5"/>
      <c r="C313" s="5"/>
      <c r="D313" s="5"/>
      <c r="E313" s="5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5"/>
      <c r="V313" s="5"/>
      <c r="W313" s="5"/>
      <c r="X313" s="5"/>
    </row>
    <row r="314" spans="1:24">
      <c r="A314" s="5"/>
      <c r="B314" s="5"/>
      <c r="C314" s="5"/>
      <c r="D314" s="5"/>
      <c r="E314" s="5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5"/>
      <c r="V314" s="5"/>
      <c r="W314" s="5"/>
      <c r="X314" s="5"/>
    </row>
    <row r="315" spans="1:24">
      <c r="A315" s="5"/>
      <c r="B315" s="5"/>
      <c r="C315" s="5"/>
      <c r="D315" s="5"/>
      <c r="E315" s="5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5"/>
      <c r="V315" s="5"/>
      <c r="W315" s="5"/>
      <c r="X315" s="5"/>
    </row>
    <row r="316" spans="1:24">
      <c r="A316" s="5"/>
      <c r="B316" s="5"/>
      <c r="C316" s="5"/>
      <c r="D316" s="5"/>
      <c r="E316" s="5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5"/>
      <c r="V316" s="5"/>
      <c r="W316" s="5"/>
      <c r="X316" s="5"/>
    </row>
    <row r="317" spans="1:24">
      <c r="A317" s="5"/>
      <c r="B317" s="5"/>
      <c r="C317" s="5"/>
      <c r="D317" s="5"/>
      <c r="E317" s="5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5"/>
      <c r="V317" s="5"/>
      <c r="W317" s="5"/>
      <c r="X317" s="5"/>
    </row>
    <row r="318" spans="1:24">
      <c r="A318" s="5"/>
      <c r="B318" s="5"/>
      <c r="C318" s="5"/>
      <c r="D318" s="5"/>
      <c r="E318" s="5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5"/>
      <c r="V318" s="5"/>
      <c r="W318" s="5"/>
      <c r="X318" s="5"/>
    </row>
    <row r="319" spans="1:24">
      <c r="A319" s="5"/>
      <c r="B319" s="5"/>
      <c r="C319" s="5"/>
      <c r="D319" s="5"/>
      <c r="E319" s="5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5"/>
      <c r="V319" s="5"/>
      <c r="W319" s="5"/>
      <c r="X319" s="5"/>
    </row>
    <row r="320" spans="1:24">
      <c r="A320" s="5"/>
      <c r="B320" s="5"/>
      <c r="C320" s="5"/>
      <c r="D320" s="5"/>
      <c r="E320" s="5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5"/>
      <c r="V320" s="5"/>
      <c r="W320" s="5"/>
      <c r="X320" s="5"/>
    </row>
    <row r="321" spans="1:24">
      <c r="A321" s="5"/>
      <c r="B321" s="5"/>
      <c r="C321" s="5"/>
      <c r="D321" s="5"/>
      <c r="E321" s="5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5"/>
      <c r="V321" s="5"/>
      <c r="W321" s="5"/>
      <c r="X321" s="5"/>
    </row>
    <row r="322" spans="1:24">
      <c r="A322" s="5"/>
      <c r="B322" s="5"/>
      <c r="C322" s="5"/>
      <c r="D322" s="5"/>
      <c r="E322" s="5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5"/>
      <c r="V322" s="5"/>
      <c r="W322" s="5"/>
      <c r="X322" s="5"/>
    </row>
    <row r="323" spans="1:24">
      <c r="A323" s="5"/>
      <c r="B323" s="5"/>
      <c r="C323" s="5"/>
      <c r="D323" s="5"/>
      <c r="E323" s="5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5"/>
      <c r="V323" s="5"/>
      <c r="W323" s="5"/>
      <c r="X323" s="5"/>
    </row>
    <row r="324" spans="1:24">
      <c r="A324" s="5"/>
      <c r="B324" s="5"/>
      <c r="C324" s="5"/>
      <c r="D324" s="5"/>
      <c r="E324" s="5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5"/>
      <c r="V324" s="5"/>
      <c r="W324" s="5"/>
      <c r="X324" s="5"/>
    </row>
    <row r="325" spans="1:24">
      <c r="A325" s="5"/>
      <c r="B325" s="5"/>
      <c r="C325" s="5"/>
      <c r="D325" s="5"/>
      <c r="E325" s="5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5"/>
      <c r="V325" s="5"/>
      <c r="W325" s="5"/>
      <c r="X325" s="5"/>
    </row>
    <row r="326" spans="1:24">
      <c r="A326" s="5"/>
      <c r="B326" s="5"/>
      <c r="C326" s="5"/>
      <c r="D326" s="5"/>
      <c r="E326" s="5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5"/>
      <c r="V326" s="5"/>
      <c r="W326" s="5"/>
      <c r="X326" s="5"/>
    </row>
    <row r="327" spans="1:24">
      <c r="A327" s="5"/>
      <c r="B327" s="5"/>
      <c r="C327" s="5"/>
      <c r="D327" s="5"/>
      <c r="E327" s="5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5"/>
      <c r="V327" s="5"/>
      <c r="W327" s="5"/>
      <c r="X327" s="5"/>
    </row>
    <row r="328" spans="1:24">
      <c r="A328" s="5"/>
      <c r="B328" s="5"/>
      <c r="C328" s="5"/>
      <c r="D328" s="5"/>
      <c r="E328" s="5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5"/>
      <c r="V328" s="5"/>
      <c r="W328" s="5"/>
      <c r="X328" s="5"/>
    </row>
    <row r="329" spans="1:24">
      <c r="A329" s="5"/>
      <c r="B329" s="5"/>
      <c r="C329" s="5"/>
      <c r="D329" s="5"/>
      <c r="E329" s="5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5"/>
      <c r="V329" s="5"/>
      <c r="W329" s="5"/>
      <c r="X329" s="5"/>
    </row>
    <row r="330" spans="1:24">
      <c r="A330" s="5"/>
      <c r="B330" s="5"/>
      <c r="C330" s="5"/>
      <c r="D330" s="5"/>
      <c r="E330" s="5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5"/>
      <c r="V330" s="5"/>
      <c r="W330" s="5"/>
      <c r="X330" s="5"/>
    </row>
    <row r="331" spans="1:24">
      <c r="A331" s="5"/>
      <c r="B331" s="5"/>
      <c r="C331" s="5"/>
      <c r="D331" s="5"/>
      <c r="E331" s="5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5"/>
      <c r="V331" s="5"/>
      <c r="W331" s="5"/>
      <c r="X331" s="5"/>
    </row>
    <row r="332" spans="1:24">
      <c r="A332" s="5"/>
      <c r="B332" s="5"/>
      <c r="C332" s="5"/>
      <c r="D332" s="5"/>
      <c r="E332" s="5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5"/>
      <c r="V332" s="5"/>
      <c r="W332" s="5"/>
      <c r="X332" s="5"/>
    </row>
    <row r="333" spans="1:24">
      <c r="A333" s="5"/>
      <c r="B333" s="5"/>
      <c r="C333" s="5"/>
      <c r="D333" s="5"/>
      <c r="E333" s="5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5"/>
      <c r="V333" s="5"/>
      <c r="W333" s="5"/>
      <c r="X333" s="5"/>
    </row>
    <row r="334" spans="1:24">
      <c r="A334" s="5"/>
      <c r="B334" s="5"/>
      <c r="C334" s="5"/>
      <c r="D334" s="5"/>
      <c r="E334" s="5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5"/>
      <c r="V334" s="5"/>
      <c r="W334" s="5"/>
      <c r="X334" s="5"/>
    </row>
    <row r="335" spans="1:24">
      <c r="A335" s="5"/>
      <c r="B335" s="5"/>
      <c r="C335" s="5"/>
      <c r="D335" s="5"/>
      <c r="E335" s="5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5"/>
      <c r="V335" s="5"/>
      <c r="W335" s="5"/>
      <c r="X335" s="5"/>
    </row>
    <row r="336" spans="1:24">
      <c r="A336" s="5"/>
      <c r="B336" s="5"/>
      <c r="C336" s="5"/>
      <c r="D336" s="5"/>
      <c r="E336" s="5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5"/>
      <c r="V336" s="5"/>
      <c r="W336" s="5"/>
      <c r="X336" s="5"/>
    </row>
    <row r="337" spans="1:24">
      <c r="A337" s="5"/>
      <c r="B337" s="5"/>
      <c r="C337" s="5"/>
      <c r="D337" s="5"/>
      <c r="E337" s="5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5"/>
      <c r="V337" s="5"/>
      <c r="W337" s="5"/>
      <c r="X337" s="5"/>
    </row>
    <row r="338" spans="1:24">
      <c r="A338" s="5"/>
      <c r="B338" s="5"/>
      <c r="C338" s="5"/>
      <c r="D338" s="5"/>
      <c r="E338" s="5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5"/>
      <c r="V338" s="5"/>
      <c r="W338" s="5"/>
      <c r="X338" s="5"/>
    </row>
    <row r="339" spans="1:24">
      <c r="A339" s="5"/>
      <c r="B339" s="5"/>
      <c r="C339" s="5"/>
      <c r="D339" s="5"/>
      <c r="E339" s="5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5"/>
      <c r="V339" s="5"/>
      <c r="W339" s="5"/>
      <c r="X339" s="5"/>
    </row>
    <row r="340" spans="1:24">
      <c r="A340" s="5"/>
      <c r="B340" s="5"/>
      <c r="C340" s="5"/>
      <c r="D340" s="5"/>
      <c r="E340" s="5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5"/>
      <c r="V340" s="5"/>
      <c r="W340" s="5"/>
      <c r="X340" s="5"/>
    </row>
    <row r="341" spans="1:24">
      <c r="A341" s="5"/>
      <c r="B341" s="5"/>
      <c r="C341" s="5"/>
      <c r="D341" s="5"/>
      <c r="E341" s="5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5"/>
      <c r="V341" s="5"/>
      <c r="W341" s="5"/>
      <c r="X341" s="5"/>
    </row>
    <row r="342" spans="1:24">
      <c r="A342" s="5"/>
      <c r="B342" s="5"/>
      <c r="C342" s="5"/>
      <c r="D342" s="5"/>
      <c r="E342" s="5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5"/>
      <c r="V342" s="5"/>
      <c r="W342" s="5"/>
      <c r="X342" s="5"/>
    </row>
    <row r="343" spans="1:24">
      <c r="A343" s="5"/>
      <c r="B343" s="5"/>
      <c r="C343" s="5"/>
      <c r="D343" s="5"/>
      <c r="E343" s="5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5"/>
      <c r="V343" s="5"/>
      <c r="W343" s="5"/>
      <c r="X343" s="5"/>
    </row>
    <row r="344" spans="1:24">
      <c r="A344" s="5"/>
      <c r="B344" s="5"/>
      <c r="C344" s="5"/>
      <c r="D344" s="5"/>
      <c r="E344" s="5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5"/>
      <c r="V344" s="5"/>
      <c r="W344" s="5"/>
      <c r="X344" s="5"/>
    </row>
    <row r="345" spans="1:24">
      <c r="A345" s="5"/>
      <c r="B345" s="5"/>
      <c r="C345" s="5"/>
      <c r="D345" s="5"/>
      <c r="E345" s="5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5"/>
      <c r="V345" s="5"/>
      <c r="W345" s="5"/>
      <c r="X345" s="5"/>
    </row>
    <row r="346" spans="1:24">
      <c r="A346" s="5"/>
      <c r="B346" s="5"/>
      <c r="C346" s="5"/>
      <c r="D346" s="5"/>
      <c r="E346" s="5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5"/>
      <c r="V346" s="5"/>
      <c r="W346" s="5"/>
      <c r="X346" s="5"/>
    </row>
    <row r="347" spans="1:24">
      <c r="A347" s="5"/>
      <c r="B347" s="5"/>
      <c r="C347" s="5"/>
      <c r="D347" s="5"/>
      <c r="E347" s="5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5"/>
      <c r="V347" s="5"/>
      <c r="W347" s="5"/>
      <c r="X347" s="5"/>
    </row>
    <row r="348" spans="1:24">
      <c r="A348" s="5"/>
      <c r="B348" s="5"/>
      <c r="C348" s="5"/>
      <c r="D348" s="5"/>
      <c r="E348" s="5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5"/>
      <c r="V348" s="5"/>
      <c r="W348" s="5"/>
      <c r="X348" s="5"/>
    </row>
    <row r="349" spans="1:24">
      <c r="A349" s="5"/>
      <c r="B349" s="5"/>
      <c r="C349" s="5"/>
      <c r="D349" s="5"/>
      <c r="E349" s="5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5"/>
      <c r="V349" s="5"/>
      <c r="W349" s="5"/>
      <c r="X349" s="5"/>
    </row>
    <row r="350" spans="1:24">
      <c r="A350" s="5"/>
      <c r="B350" s="5"/>
      <c r="C350" s="5"/>
      <c r="D350" s="5"/>
      <c r="E350" s="5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5"/>
      <c r="V350" s="5"/>
      <c r="W350" s="5"/>
      <c r="X350" s="5"/>
    </row>
    <row r="351" spans="1:24">
      <c r="A351" s="5"/>
      <c r="B351" s="5"/>
      <c r="C351" s="5"/>
      <c r="D351" s="5"/>
      <c r="E351" s="5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5"/>
      <c r="V351" s="5"/>
      <c r="W351" s="5"/>
      <c r="X351" s="5"/>
    </row>
    <row r="352" spans="1:24">
      <c r="A352" s="5"/>
      <c r="B352" s="5"/>
      <c r="C352" s="5"/>
      <c r="D352" s="5"/>
      <c r="E352" s="5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5"/>
      <c r="V352" s="5"/>
      <c r="W352" s="5"/>
      <c r="X352" s="5"/>
    </row>
    <row r="353" spans="1:24">
      <c r="A353" s="5"/>
      <c r="B353" s="5"/>
      <c r="C353" s="5"/>
      <c r="D353" s="5"/>
      <c r="E353" s="5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5"/>
      <c r="V353" s="5"/>
      <c r="W353" s="5"/>
      <c r="X353" s="5"/>
    </row>
    <row r="354" spans="1:24">
      <c r="A354" s="5"/>
      <c r="B354" s="5"/>
      <c r="C354" s="5"/>
      <c r="D354" s="5"/>
      <c r="E354" s="5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5"/>
      <c r="V354" s="5"/>
      <c r="W354" s="5"/>
      <c r="X354" s="5"/>
    </row>
    <row r="355" spans="1:24">
      <c r="A355" s="5"/>
      <c r="B355" s="5"/>
      <c r="C355" s="5"/>
      <c r="D355" s="5"/>
      <c r="E355" s="5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5"/>
      <c r="V355" s="5"/>
      <c r="W355" s="5"/>
      <c r="X355" s="5"/>
    </row>
    <row r="356" spans="1:24">
      <c r="A356" s="5"/>
      <c r="B356" s="5"/>
      <c r="C356" s="5"/>
      <c r="D356" s="5"/>
      <c r="E356" s="5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5"/>
      <c r="V356" s="5"/>
      <c r="W356" s="5"/>
      <c r="X356" s="5"/>
    </row>
    <row r="357" spans="1:24">
      <c r="A357" s="5"/>
      <c r="B357" s="5"/>
      <c r="C357" s="5"/>
      <c r="D357" s="5"/>
      <c r="E357" s="5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5"/>
      <c r="V357" s="5"/>
      <c r="W357" s="5"/>
      <c r="X357" s="5"/>
    </row>
    <row r="358" spans="1:24">
      <c r="A358" s="5"/>
      <c r="B358" s="5"/>
      <c r="C358" s="5"/>
      <c r="D358" s="5"/>
      <c r="E358" s="5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5"/>
      <c r="V358" s="5"/>
      <c r="W358" s="5"/>
      <c r="X358" s="5"/>
    </row>
    <row r="359" spans="1:24">
      <c r="A359" s="5"/>
      <c r="B359" s="5"/>
      <c r="C359" s="5"/>
      <c r="D359" s="5"/>
      <c r="E359" s="5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5"/>
      <c r="V359" s="5"/>
      <c r="W359" s="5"/>
      <c r="X359" s="5"/>
    </row>
    <row r="360" spans="1:24">
      <c r="A360" s="5"/>
      <c r="B360" s="5"/>
      <c r="C360" s="5"/>
      <c r="D360" s="5"/>
      <c r="E360" s="5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5"/>
      <c r="V360" s="5"/>
      <c r="W360" s="5"/>
      <c r="X360" s="5"/>
    </row>
    <row r="361" spans="1:24">
      <c r="A361" s="5"/>
      <c r="B361" s="5"/>
      <c r="C361" s="5"/>
      <c r="D361" s="5"/>
      <c r="E361" s="5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5"/>
      <c r="V361" s="5"/>
      <c r="W361" s="5"/>
      <c r="X361" s="5"/>
    </row>
    <row r="362" spans="1:24">
      <c r="A362" s="5"/>
      <c r="B362" s="5"/>
      <c r="C362" s="5"/>
      <c r="D362" s="5"/>
      <c r="E362" s="5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5"/>
      <c r="V362" s="5"/>
      <c r="W362" s="5"/>
      <c r="X362" s="5"/>
    </row>
    <row r="363" spans="1:24">
      <c r="A363" s="5"/>
      <c r="B363" s="5"/>
      <c r="C363" s="5"/>
      <c r="D363" s="5"/>
      <c r="E363" s="5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5"/>
      <c r="V363" s="5"/>
      <c r="W363" s="5"/>
      <c r="X363" s="5"/>
    </row>
    <row r="364" spans="1:24">
      <c r="A364" s="5"/>
      <c r="B364" s="5"/>
      <c r="C364" s="5"/>
      <c r="D364" s="5"/>
      <c r="E364" s="5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5"/>
      <c r="V364" s="5"/>
      <c r="W364" s="5"/>
      <c r="X364" s="5"/>
    </row>
    <row r="365" spans="1:24">
      <c r="A365" s="5"/>
      <c r="B365" s="5"/>
      <c r="C365" s="5"/>
      <c r="D365" s="5"/>
      <c r="E365" s="5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5"/>
      <c r="V365" s="5"/>
      <c r="W365" s="5"/>
      <c r="X365" s="5"/>
    </row>
    <row r="366" spans="1:24">
      <c r="A366" s="5"/>
      <c r="B366" s="5"/>
      <c r="C366" s="5"/>
      <c r="D366" s="5"/>
      <c r="E366" s="5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5"/>
      <c r="V366" s="5"/>
      <c r="W366" s="5"/>
      <c r="X366" s="5"/>
    </row>
    <row r="367" spans="1:24">
      <c r="A367" s="5"/>
      <c r="B367" s="5"/>
      <c r="C367" s="5"/>
      <c r="D367" s="5"/>
      <c r="E367" s="5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5"/>
      <c r="V367" s="5"/>
      <c r="W367" s="5"/>
      <c r="X367" s="5"/>
    </row>
    <row r="368" spans="1:24">
      <c r="A368" s="5"/>
      <c r="B368" s="5"/>
      <c r="C368" s="5"/>
      <c r="D368" s="5"/>
      <c r="E368" s="5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5"/>
      <c r="V368" s="5"/>
      <c r="W368" s="5"/>
      <c r="X368" s="5"/>
    </row>
    <row r="369" spans="1:24">
      <c r="A369" s="5"/>
      <c r="B369" s="5"/>
      <c r="C369" s="5"/>
      <c r="D369" s="5"/>
      <c r="E369" s="5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5"/>
      <c r="V369" s="5"/>
      <c r="W369" s="5"/>
      <c r="X369" s="5"/>
    </row>
    <row r="370" spans="1:24">
      <c r="A370" s="5"/>
      <c r="B370" s="5"/>
      <c r="C370" s="5"/>
      <c r="D370" s="5"/>
      <c r="E370" s="5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5"/>
      <c r="V370" s="5"/>
      <c r="W370" s="5"/>
      <c r="X370" s="5"/>
    </row>
    <row r="371" spans="1:24">
      <c r="A371" s="5"/>
      <c r="B371" s="5"/>
      <c r="C371" s="5"/>
      <c r="D371" s="5"/>
      <c r="E371" s="5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5"/>
      <c r="V371" s="5"/>
      <c r="W371" s="5"/>
      <c r="X371" s="5"/>
    </row>
    <row r="372" spans="1:24">
      <c r="A372" s="5"/>
      <c r="B372" s="5"/>
      <c r="C372" s="5"/>
      <c r="D372" s="5"/>
      <c r="E372" s="5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5"/>
      <c r="V372" s="5"/>
      <c r="W372" s="5"/>
      <c r="X372" s="5"/>
    </row>
    <row r="373" spans="1:24">
      <c r="A373" s="5"/>
      <c r="B373" s="5"/>
      <c r="C373" s="5"/>
      <c r="D373" s="5"/>
      <c r="E373" s="5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5"/>
      <c r="V373" s="5"/>
      <c r="W373" s="5"/>
      <c r="X373" s="5"/>
    </row>
    <row r="374" spans="1:24">
      <c r="A374" s="5"/>
      <c r="B374" s="5"/>
      <c r="C374" s="5"/>
      <c r="D374" s="5"/>
      <c r="E374" s="5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5"/>
      <c r="V374" s="5"/>
      <c r="W374" s="5"/>
      <c r="X374" s="5"/>
    </row>
    <row r="375" spans="1:24">
      <c r="A375" s="5"/>
      <c r="B375" s="5"/>
      <c r="C375" s="5"/>
      <c r="D375" s="5"/>
      <c r="E375" s="5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5"/>
      <c r="V375" s="5"/>
      <c r="W375" s="5"/>
      <c r="X375" s="5"/>
    </row>
    <row r="376" spans="1:24">
      <c r="A376" s="5"/>
      <c r="B376" s="5"/>
      <c r="C376" s="5"/>
      <c r="D376" s="5"/>
      <c r="E376" s="5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5"/>
      <c r="V376" s="5"/>
      <c r="W376" s="5"/>
      <c r="X376" s="5"/>
    </row>
    <row r="377" spans="1:24">
      <c r="A377" s="5"/>
      <c r="B377" s="5"/>
      <c r="C377" s="5"/>
      <c r="D377" s="5"/>
      <c r="E377" s="5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5"/>
      <c r="V377" s="5"/>
      <c r="W377" s="5"/>
      <c r="X377" s="5"/>
    </row>
    <row r="378" spans="1:24">
      <c r="A378" s="5"/>
      <c r="B378" s="5"/>
      <c r="C378" s="5"/>
      <c r="D378" s="5"/>
      <c r="E378" s="5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5"/>
      <c r="V378" s="5"/>
      <c r="W378" s="5"/>
      <c r="X378" s="5"/>
    </row>
    <row r="379" spans="1:24">
      <c r="A379" s="5"/>
      <c r="B379" s="5"/>
      <c r="C379" s="5"/>
      <c r="D379" s="5"/>
      <c r="E379" s="5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5"/>
      <c r="V379" s="5"/>
      <c r="W379" s="5"/>
      <c r="X379" s="5"/>
    </row>
    <row r="380" spans="1:24">
      <c r="A380" s="5"/>
      <c r="B380" s="5"/>
      <c r="C380" s="5"/>
      <c r="D380" s="5"/>
      <c r="E380" s="5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5"/>
      <c r="V380" s="5"/>
      <c r="W380" s="5"/>
      <c r="X380" s="5"/>
    </row>
    <row r="381" spans="1:24">
      <c r="A381" s="5"/>
      <c r="B381" s="5"/>
      <c r="C381" s="5"/>
      <c r="D381" s="5"/>
      <c r="E381" s="5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5"/>
      <c r="V381" s="5"/>
      <c r="W381" s="5"/>
      <c r="X381" s="5"/>
    </row>
    <row r="382" spans="1:24">
      <c r="A382" s="5"/>
      <c r="B382" s="5"/>
      <c r="C382" s="5"/>
      <c r="D382" s="5"/>
      <c r="E382" s="5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5"/>
      <c r="V382" s="5"/>
      <c r="W382" s="5"/>
      <c r="X382" s="5"/>
    </row>
    <row r="383" spans="1:24">
      <c r="A383" s="5"/>
      <c r="B383" s="5"/>
      <c r="C383" s="5"/>
      <c r="D383" s="5"/>
      <c r="E383" s="5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5"/>
      <c r="V383" s="5"/>
      <c r="W383" s="5"/>
      <c r="X383" s="5"/>
    </row>
    <row r="384" spans="1:24">
      <c r="A384" s="5"/>
      <c r="B384" s="5"/>
      <c r="C384" s="5"/>
      <c r="D384" s="5"/>
      <c r="E384" s="5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5"/>
      <c r="V384" s="5"/>
      <c r="W384" s="5"/>
      <c r="X384" s="5"/>
    </row>
    <row r="385" spans="1:24">
      <c r="A385" s="5"/>
      <c r="B385" s="5"/>
      <c r="C385" s="5"/>
      <c r="D385" s="5"/>
      <c r="E385" s="5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5"/>
      <c r="V385" s="5"/>
      <c r="W385" s="5"/>
      <c r="X385" s="5"/>
    </row>
    <row r="386" spans="1:24">
      <c r="A386" s="5"/>
      <c r="B386" s="5"/>
      <c r="C386" s="5"/>
      <c r="D386" s="5"/>
      <c r="E386" s="5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5"/>
      <c r="V386" s="5"/>
      <c r="W386" s="5"/>
      <c r="X386" s="5"/>
    </row>
    <row r="387" spans="1:24">
      <c r="A387" s="5"/>
      <c r="B387" s="5"/>
      <c r="C387" s="5"/>
      <c r="D387" s="5"/>
      <c r="E387" s="5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5"/>
      <c r="V387" s="5"/>
      <c r="W387" s="5"/>
      <c r="X387" s="5"/>
    </row>
    <row r="388" spans="1:24">
      <c r="A388" s="5"/>
      <c r="B388" s="5"/>
      <c r="C388" s="5"/>
      <c r="D388" s="5"/>
      <c r="E388" s="5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5"/>
      <c r="V388" s="5"/>
      <c r="W388" s="5"/>
      <c r="X388" s="5"/>
    </row>
    <row r="389" spans="1:24">
      <c r="A389" s="5"/>
      <c r="B389" s="5"/>
      <c r="C389" s="5"/>
      <c r="D389" s="5"/>
      <c r="E389" s="5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5"/>
      <c r="V389" s="5"/>
      <c r="W389" s="5"/>
      <c r="X389" s="5"/>
    </row>
    <row r="390" spans="1:24">
      <c r="A390" s="5"/>
      <c r="B390" s="5"/>
      <c r="C390" s="5"/>
      <c r="D390" s="5"/>
      <c r="E390" s="5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5"/>
      <c r="V390" s="5"/>
      <c r="W390" s="5"/>
      <c r="X390" s="5"/>
    </row>
    <row r="391" spans="1:24">
      <c r="A391" s="5"/>
      <c r="B391" s="5"/>
      <c r="C391" s="5"/>
      <c r="D391" s="5"/>
      <c r="E391" s="5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5"/>
      <c r="V391" s="5"/>
      <c r="W391" s="5"/>
      <c r="X391" s="5"/>
    </row>
    <row r="392" spans="1:24">
      <c r="A392" s="5"/>
      <c r="B392" s="5"/>
      <c r="C392" s="5"/>
      <c r="D392" s="5"/>
      <c r="E392" s="5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5"/>
      <c r="V392" s="5"/>
      <c r="W392" s="5"/>
      <c r="X392" s="5"/>
    </row>
    <row r="393" spans="1:24">
      <c r="A393" s="5"/>
      <c r="B393" s="5"/>
      <c r="C393" s="5"/>
      <c r="D393" s="5"/>
      <c r="E393" s="5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5"/>
      <c r="V393" s="5"/>
      <c r="W393" s="5"/>
      <c r="X393" s="5"/>
    </row>
    <row r="394" spans="1:24">
      <c r="A394" s="5"/>
      <c r="B394" s="5"/>
      <c r="C394" s="5"/>
      <c r="D394" s="5"/>
      <c r="E394" s="5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5"/>
      <c r="V394" s="5"/>
      <c r="W394" s="5"/>
      <c r="X394" s="5"/>
    </row>
    <row r="395" spans="1:24">
      <c r="A395" s="5"/>
      <c r="B395" s="5"/>
      <c r="C395" s="5"/>
      <c r="D395" s="5"/>
      <c r="E395" s="5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5"/>
      <c r="V395" s="5"/>
      <c r="W395" s="5"/>
      <c r="X395" s="5"/>
    </row>
    <row r="396" spans="1:24">
      <c r="A396" s="5"/>
      <c r="B396" s="5"/>
      <c r="C396" s="5"/>
      <c r="D396" s="5"/>
      <c r="E396" s="5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5"/>
      <c r="V396" s="5"/>
      <c r="W396" s="5"/>
      <c r="X396" s="5"/>
    </row>
    <row r="397" spans="1:24">
      <c r="A397" s="5"/>
      <c r="B397" s="5"/>
      <c r="C397" s="5"/>
      <c r="D397" s="5"/>
      <c r="E397" s="5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5"/>
      <c r="V397" s="5"/>
      <c r="W397" s="5"/>
      <c r="X397" s="5"/>
    </row>
    <row r="398" spans="1:24">
      <c r="A398" s="5"/>
      <c r="B398" s="5"/>
      <c r="C398" s="5"/>
      <c r="D398" s="5"/>
      <c r="E398" s="5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5"/>
      <c r="V398" s="5"/>
      <c r="W398" s="5"/>
      <c r="X398" s="5"/>
    </row>
    <row r="399" spans="1:24">
      <c r="A399" s="5"/>
      <c r="B399" s="5"/>
      <c r="C399" s="5"/>
      <c r="D399" s="5"/>
      <c r="E399" s="5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5"/>
      <c r="V399" s="5"/>
      <c r="W399" s="5"/>
      <c r="X399" s="5"/>
    </row>
    <row r="400" spans="1:24">
      <c r="A400" s="5"/>
      <c r="B400" s="5"/>
      <c r="C400" s="5"/>
      <c r="D400" s="5"/>
      <c r="E400" s="5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5"/>
      <c r="V400" s="5"/>
      <c r="W400" s="5"/>
      <c r="X400" s="5"/>
    </row>
    <row r="401" spans="1:24">
      <c r="A401" s="5"/>
      <c r="B401" s="5"/>
      <c r="C401" s="5"/>
      <c r="D401" s="5"/>
      <c r="E401" s="5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5"/>
      <c r="V401" s="5"/>
      <c r="W401" s="5"/>
      <c r="X401" s="5"/>
    </row>
    <row r="402" spans="1:24">
      <c r="A402" s="5"/>
      <c r="B402" s="5"/>
      <c r="C402" s="5"/>
      <c r="D402" s="5"/>
      <c r="E402" s="5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5"/>
      <c r="V402" s="5"/>
      <c r="W402" s="5"/>
      <c r="X402" s="5"/>
    </row>
    <row r="403" spans="1:24">
      <c r="A403" s="5"/>
      <c r="B403" s="5"/>
      <c r="C403" s="5"/>
      <c r="D403" s="5"/>
      <c r="E403" s="5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5"/>
      <c r="V403" s="5"/>
      <c r="W403" s="5"/>
      <c r="X403" s="5"/>
    </row>
    <row r="404" spans="1:24">
      <c r="A404" s="5"/>
      <c r="B404" s="5"/>
      <c r="C404" s="5"/>
      <c r="D404" s="5"/>
      <c r="E404" s="5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5"/>
      <c r="V404" s="5"/>
      <c r="W404" s="5"/>
      <c r="X404" s="5"/>
    </row>
    <row r="405" spans="1:24">
      <c r="A405" s="5"/>
      <c r="B405" s="5"/>
      <c r="C405" s="5"/>
      <c r="D405" s="5"/>
      <c r="E405" s="5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5"/>
      <c r="V405" s="5"/>
      <c r="W405" s="5"/>
      <c r="X405" s="5"/>
    </row>
    <row r="406" spans="1:24">
      <c r="A406" s="5"/>
      <c r="B406" s="5"/>
      <c r="C406" s="5"/>
      <c r="D406" s="5"/>
      <c r="E406" s="5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5"/>
      <c r="V406" s="5"/>
      <c r="W406" s="5"/>
      <c r="X406" s="5"/>
    </row>
    <row r="407" spans="1:24">
      <c r="A407" s="5"/>
      <c r="B407" s="5"/>
      <c r="C407" s="5"/>
      <c r="D407" s="5"/>
      <c r="E407" s="5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5"/>
      <c r="V407" s="5"/>
      <c r="W407" s="5"/>
      <c r="X407" s="5"/>
    </row>
    <row r="408" spans="1:24">
      <c r="A408" s="5"/>
      <c r="B408" s="5"/>
      <c r="C408" s="5"/>
      <c r="D408" s="5"/>
      <c r="E408" s="5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5"/>
      <c r="V408" s="5"/>
      <c r="W408" s="5"/>
      <c r="X408" s="5"/>
    </row>
    <row r="409" spans="1:24">
      <c r="A409" s="5"/>
      <c r="B409" s="5"/>
      <c r="C409" s="5"/>
      <c r="D409" s="5"/>
      <c r="E409" s="5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5"/>
      <c r="V409" s="5"/>
      <c r="W409" s="5"/>
      <c r="X409" s="5"/>
    </row>
    <row r="410" spans="1:24">
      <c r="A410" s="5"/>
      <c r="B410" s="5"/>
      <c r="C410" s="5"/>
      <c r="D410" s="5"/>
      <c r="E410" s="5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5"/>
      <c r="V410" s="5"/>
      <c r="W410" s="5"/>
      <c r="X410" s="5"/>
    </row>
    <row r="411" spans="1:24">
      <c r="A411" s="5"/>
      <c r="B411" s="5"/>
      <c r="C411" s="5"/>
      <c r="D411" s="5"/>
      <c r="E411" s="5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5"/>
      <c r="V411" s="5"/>
      <c r="W411" s="5"/>
      <c r="X411" s="5"/>
    </row>
    <row r="412" spans="1:24">
      <c r="A412" s="5"/>
      <c r="B412" s="5"/>
      <c r="C412" s="5"/>
      <c r="D412" s="5"/>
      <c r="E412" s="5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5"/>
      <c r="V412" s="5"/>
      <c r="W412" s="5"/>
      <c r="X412" s="5"/>
    </row>
    <row r="413" spans="1:24">
      <c r="A413" s="5"/>
      <c r="B413" s="5"/>
      <c r="C413" s="5"/>
      <c r="D413" s="5"/>
      <c r="E413" s="5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5"/>
      <c r="V413" s="5"/>
      <c r="W413" s="5"/>
      <c r="X413" s="5"/>
    </row>
    <row r="414" spans="1:24">
      <c r="A414" s="5"/>
      <c r="B414" s="5"/>
      <c r="C414" s="5"/>
      <c r="D414" s="5"/>
      <c r="E414" s="5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5"/>
      <c r="V414" s="5"/>
      <c r="W414" s="5"/>
      <c r="X414" s="5"/>
    </row>
    <row r="415" spans="1:24">
      <c r="A415" s="5"/>
      <c r="B415" s="5"/>
      <c r="C415" s="5"/>
      <c r="D415" s="5"/>
      <c r="E415" s="5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5"/>
      <c r="V415" s="5"/>
      <c r="W415" s="5"/>
      <c r="X415" s="5"/>
    </row>
    <row r="416" spans="1:24">
      <c r="A416" s="5"/>
      <c r="B416" s="5"/>
      <c r="C416" s="5"/>
      <c r="D416" s="5"/>
      <c r="E416" s="5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5"/>
      <c r="V416" s="5"/>
      <c r="W416" s="5"/>
      <c r="X416" s="5"/>
    </row>
    <row r="417" spans="1:24">
      <c r="A417" s="5"/>
      <c r="B417" s="5"/>
      <c r="C417" s="5"/>
      <c r="D417" s="5"/>
      <c r="E417" s="5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5"/>
      <c r="V417" s="5"/>
      <c r="W417" s="5"/>
      <c r="X417" s="5"/>
    </row>
    <row r="418" spans="1:24">
      <c r="A418" s="5"/>
      <c r="B418" s="5"/>
      <c r="C418" s="5"/>
      <c r="D418" s="5"/>
      <c r="E418" s="5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5"/>
      <c r="V418" s="5"/>
      <c r="W418" s="5"/>
      <c r="X418" s="5"/>
    </row>
    <row r="419" spans="1:24">
      <c r="A419" s="5"/>
      <c r="B419" s="5"/>
      <c r="C419" s="5"/>
      <c r="D419" s="5"/>
      <c r="E419" s="5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5"/>
      <c r="V419" s="5"/>
      <c r="W419" s="5"/>
      <c r="X419" s="5"/>
    </row>
    <row r="420" spans="1:24">
      <c r="A420" s="5"/>
      <c r="B420" s="5"/>
      <c r="C420" s="5"/>
      <c r="D420" s="5"/>
      <c r="E420" s="5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5"/>
      <c r="V420" s="5"/>
      <c r="W420" s="5"/>
      <c r="X420" s="5"/>
    </row>
    <row r="421" spans="1:24">
      <c r="A421" s="5"/>
      <c r="B421" s="5"/>
      <c r="C421" s="5"/>
      <c r="D421" s="5"/>
      <c r="E421" s="5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5"/>
      <c r="V421" s="5"/>
      <c r="W421" s="5"/>
      <c r="X421" s="5"/>
    </row>
    <row r="422" spans="1:24">
      <c r="A422" s="5"/>
      <c r="B422" s="5"/>
      <c r="C422" s="5"/>
      <c r="D422" s="5"/>
      <c r="E422" s="5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5"/>
      <c r="V422" s="5"/>
      <c r="W422" s="5"/>
      <c r="X422" s="5"/>
    </row>
    <row r="423" spans="1:24">
      <c r="A423" s="5"/>
      <c r="B423" s="5"/>
      <c r="C423" s="5"/>
      <c r="D423" s="5"/>
      <c r="E423" s="5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5"/>
      <c r="V423" s="5"/>
      <c r="W423" s="5"/>
      <c r="X423" s="5"/>
    </row>
    <row r="424" spans="1:24">
      <c r="A424" s="5"/>
      <c r="B424" s="5"/>
      <c r="C424" s="5"/>
      <c r="D424" s="5"/>
      <c r="E424" s="5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5"/>
      <c r="V424" s="5"/>
      <c r="W424" s="5"/>
      <c r="X424" s="5"/>
    </row>
    <row r="425" spans="1:24">
      <c r="A425" s="5"/>
      <c r="B425" s="5"/>
      <c r="C425" s="5"/>
      <c r="D425" s="5"/>
      <c r="E425" s="5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5"/>
      <c r="V425" s="5"/>
      <c r="W425" s="5"/>
      <c r="X425" s="5"/>
    </row>
    <row r="426" spans="1:24">
      <c r="A426" s="5"/>
      <c r="B426" s="5"/>
      <c r="C426" s="5"/>
      <c r="D426" s="5"/>
      <c r="E426" s="5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5"/>
      <c r="V426" s="5"/>
      <c r="W426" s="5"/>
      <c r="X426" s="5"/>
    </row>
    <row r="427" spans="1:24">
      <c r="A427" s="5"/>
      <c r="B427" s="5"/>
      <c r="C427" s="5"/>
      <c r="D427" s="5"/>
      <c r="E427" s="5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5"/>
      <c r="V427" s="5"/>
      <c r="W427" s="5"/>
      <c r="X427" s="5"/>
    </row>
    <row r="428" spans="1:24">
      <c r="A428" s="5"/>
      <c r="B428" s="5"/>
      <c r="C428" s="5"/>
      <c r="D428" s="5"/>
      <c r="E428" s="5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5"/>
      <c r="V428" s="5"/>
      <c r="W428" s="5"/>
      <c r="X428" s="5"/>
    </row>
    <row r="429" spans="1:24">
      <c r="A429" s="5"/>
      <c r="B429" s="5"/>
      <c r="C429" s="5"/>
      <c r="D429" s="5"/>
      <c r="E429" s="5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5"/>
      <c r="V429" s="5"/>
      <c r="W429" s="5"/>
      <c r="X429" s="5"/>
    </row>
    <row r="430" spans="1:24">
      <c r="A430" s="5"/>
      <c r="B430" s="5"/>
      <c r="C430" s="5"/>
      <c r="D430" s="5"/>
      <c r="E430" s="5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5"/>
      <c r="V430" s="5"/>
      <c r="W430" s="5"/>
      <c r="X430" s="5"/>
    </row>
    <row r="431" spans="1:24">
      <c r="A431" s="5"/>
      <c r="B431" s="5"/>
      <c r="C431" s="5"/>
      <c r="D431" s="5"/>
      <c r="E431" s="5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5"/>
      <c r="V431" s="5"/>
      <c r="W431" s="5"/>
      <c r="X431" s="5"/>
    </row>
    <row r="432" spans="1:24">
      <c r="A432" s="5"/>
      <c r="B432" s="5"/>
      <c r="C432" s="5"/>
      <c r="D432" s="5"/>
      <c r="E432" s="5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5"/>
      <c r="V432" s="5"/>
      <c r="W432" s="5"/>
      <c r="X432" s="5"/>
    </row>
    <row r="433" spans="1:24">
      <c r="A433" s="5"/>
      <c r="B433" s="5"/>
      <c r="C433" s="5"/>
      <c r="D433" s="5"/>
      <c r="E433" s="5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5"/>
      <c r="V433" s="5"/>
      <c r="W433" s="5"/>
      <c r="X433" s="5"/>
    </row>
    <row r="434" spans="1:24">
      <c r="A434" s="5"/>
      <c r="B434" s="5"/>
      <c r="C434" s="5"/>
      <c r="D434" s="5"/>
      <c r="E434" s="5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5"/>
      <c r="V434" s="5"/>
      <c r="W434" s="5"/>
      <c r="X434" s="5"/>
    </row>
    <row r="435" spans="1:24">
      <c r="A435" s="5"/>
      <c r="B435" s="5"/>
      <c r="C435" s="5"/>
      <c r="D435" s="5"/>
      <c r="E435" s="5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5"/>
      <c r="V435" s="5"/>
      <c r="W435" s="5"/>
      <c r="X435" s="5"/>
    </row>
    <row r="436" spans="1:24">
      <c r="A436" s="5"/>
      <c r="B436" s="5"/>
      <c r="C436" s="5"/>
      <c r="D436" s="5"/>
      <c r="E436" s="5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5"/>
      <c r="V436" s="5"/>
      <c r="W436" s="5"/>
      <c r="X436" s="5"/>
    </row>
    <row r="437" spans="1:24">
      <c r="A437" s="5"/>
      <c r="B437" s="5"/>
      <c r="C437" s="5"/>
      <c r="D437" s="5"/>
      <c r="E437" s="5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5"/>
      <c r="V437" s="5"/>
      <c r="W437" s="5"/>
      <c r="X437" s="5"/>
    </row>
    <row r="438" spans="1:24">
      <c r="A438" s="5"/>
      <c r="B438" s="5"/>
      <c r="C438" s="5"/>
      <c r="D438" s="5"/>
      <c r="E438" s="5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5"/>
      <c r="V438" s="5"/>
      <c r="W438" s="5"/>
      <c r="X438" s="5"/>
    </row>
    <row r="439" spans="1:24">
      <c r="A439" s="5"/>
      <c r="B439" s="5"/>
      <c r="C439" s="5"/>
      <c r="D439" s="5"/>
      <c r="E439" s="5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5"/>
      <c r="V439" s="5"/>
      <c r="W439" s="5"/>
      <c r="X439" s="5"/>
    </row>
    <row r="440" spans="1:24">
      <c r="A440" s="5"/>
      <c r="B440" s="5"/>
      <c r="C440" s="5"/>
      <c r="D440" s="5"/>
      <c r="E440" s="5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5"/>
      <c r="V440" s="5"/>
      <c r="W440" s="5"/>
      <c r="X440" s="5"/>
    </row>
    <row r="441" spans="1:24">
      <c r="A441" s="5"/>
      <c r="B441" s="5"/>
      <c r="C441" s="5"/>
      <c r="D441" s="5"/>
      <c r="E441" s="5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5"/>
      <c r="V441" s="5"/>
      <c r="W441" s="5"/>
      <c r="X441" s="5"/>
    </row>
    <row r="442" spans="1:24">
      <c r="A442" s="5"/>
      <c r="B442" s="5"/>
      <c r="C442" s="5"/>
      <c r="D442" s="5"/>
      <c r="E442" s="5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5"/>
      <c r="V442" s="5"/>
      <c r="W442" s="5"/>
      <c r="X442" s="5"/>
    </row>
    <row r="443" spans="1:24">
      <c r="A443" s="5"/>
      <c r="B443" s="5"/>
      <c r="C443" s="5"/>
      <c r="D443" s="5"/>
      <c r="E443" s="5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5"/>
      <c r="V443" s="5"/>
      <c r="W443" s="5"/>
      <c r="X443" s="5"/>
    </row>
    <row r="444" spans="1:24">
      <c r="A444" s="5"/>
      <c r="B444" s="5"/>
      <c r="C444" s="5"/>
      <c r="D444" s="5"/>
      <c r="E444" s="5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5"/>
      <c r="V444" s="5"/>
      <c r="W444" s="5"/>
      <c r="X444" s="5"/>
    </row>
    <row r="445" spans="1:24">
      <c r="A445" s="5"/>
      <c r="B445" s="5"/>
      <c r="C445" s="5"/>
      <c r="D445" s="5"/>
      <c r="E445" s="5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5"/>
      <c r="V445" s="5"/>
      <c r="W445" s="5"/>
      <c r="X445" s="5"/>
    </row>
    <row r="446" spans="1:24">
      <c r="A446" s="5"/>
      <c r="B446" s="5"/>
      <c r="C446" s="5"/>
      <c r="D446" s="5"/>
      <c r="E446" s="5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5"/>
      <c r="V446" s="5"/>
      <c r="W446" s="5"/>
      <c r="X446" s="5"/>
    </row>
    <row r="447" spans="1:24">
      <c r="A447" s="5"/>
      <c r="B447" s="5"/>
      <c r="C447" s="5"/>
      <c r="D447" s="5"/>
      <c r="E447" s="5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5"/>
      <c r="V447" s="5"/>
      <c r="W447" s="5"/>
      <c r="X447" s="5"/>
    </row>
    <row r="448" spans="1:24">
      <c r="A448" s="5"/>
      <c r="B448" s="5"/>
      <c r="C448" s="5"/>
      <c r="D448" s="5"/>
      <c r="E448" s="5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5"/>
      <c r="V448" s="5"/>
      <c r="W448" s="5"/>
      <c r="X448" s="5"/>
    </row>
    <row r="449" spans="1:24">
      <c r="A449" s="5"/>
      <c r="B449" s="5"/>
      <c r="C449" s="5"/>
      <c r="D449" s="5"/>
      <c r="E449" s="5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5"/>
      <c r="V449" s="5"/>
      <c r="W449" s="5"/>
      <c r="X449" s="5"/>
    </row>
    <row r="450" spans="1:24">
      <c r="A450" s="5"/>
      <c r="B450" s="5"/>
      <c r="C450" s="5"/>
      <c r="D450" s="5"/>
      <c r="E450" s="5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5"/>
      <c r="V450" s="5"/>
      <c r="W450" s="5"/>
      <c r="X450" s="5"/>
    </row>
    <row r="451" spans="1:24">
      <c r="A451" s="5"/>
      <c r="B451" s="5"/>
      <c r="C451" s="5"/>
      <c r="D451" s="5"/>
      <c r="E451" s="5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5"/>
      <c r="V451" s="5"/>
      <c r="W451" s="5"/>
      <c r="X451" s="5"/>
    </row>
    <row r="452" spans="1:24">
      <c r="A452" s="5"/>
      <c r="B452" s="5"/>
      <c r="C452" s="5"/>
      <c r="D452" s="5"/>
      <c r="E452" s="5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5"/>
      <c r="V452" s="5"/>
      <c r="W452" s="5"/>
      <c r="X452" s="5"/>
    </row>
    <row r="453" spans="1:24">
      <c r="A453" s="5"/>
      <c r="B453" s="5"/>
      <c r="C453" s="5"/>
      <c r="D453" s="5"/>
      <c r="E453" s="5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5"/>
      <c r="V453" s="5"/>
      <c r="W453" s="5"/>
      <c r="X453" s="5"/>
    </row>
    <row r="454" spans="1:24">
      <c r="A454" s="5"/>
      <c r="B454" s="5"/>
      <c r="C454" s="5"/>
      <c r="D454" s="5"/>
      <c r="E454" s="5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5"/>
      <c r="V454" s="5"/>
      <c r="W454" s="5"/>
      <c r="X454" s="5"/>
    </row>
    <row r="455" spans="1:24">
      <c r="A455" s="5"/>
      <c r="B455" s="5"/>
      <c r="C455" s="5"/>
      <c r="D455" s="5"/>
      <c r="E455" s="5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5"/>
      <c r="V455" s="5"/>
      <c r="W455" s="5"/>
      <c r="X455" s="5"/>
    </row>
    <row r="456" spans="1:24">
      <c r="A456" s="5"/>
      <c r="B456" s="5"/>
      <c r="C456" s="5"/>
      <c r="D456" s="5"/>
      <c r="E456" s="5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5"/>
      <c r="V456" s="5"/>
      <c r="W456" s="5"/>
      <c r="X456" s="5"/>
    </row>
    <row r="457" spans="1:24">
      <c r="A457" s="5"/>
      <c r="B457" s="5"/>
      <c r="C457" s="5"/>
      <c r="D457" s="5"/>
      <c r="E457" s="5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5"/>
      <c r="V457" s="5"/>
      <c r="W457" s="5"/>
      <c r="X457" s="5"/>
    </row>
    <row r="458" spans="1:24">
      <c r="A458" s="5"/>
      <c r="B458" s="5"/>
      <c r="C458" s="5"/>
      <c r="D458" s="5"/>
      <c r="E458" s="5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5"/>
      <c r="V458" s="5"/>
      <c r="W458" s="5"/>
      <c r="X458" s="5"/>
    </row>
    <row r="459" spans="1:24">
      <c r="A459" s="5"/>
      <c r="B459" s="5"/>
      <c r="C459" s="5"/>
      <c r="D459" s="5"/>
      <c r="E459" s="5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5"/>
      <c r="V459" s="5"/>
      <c r="W459" s="5"/>
      <c r="X459" s="5"/>
    </row>
    <row r="460" spans="1:24">
      <c r="A460" s="5"/>
      <c r="B460" s="5"/>
      <c r="C460" s="5"/>
      <c r="D460" s="5"/>
      <c r="E460" s="5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5"/>
      <c r="V460" s="5"/>
      <c r="W460" s="5"/>
      <c r="X460" s="5"/>
    </row>
    <row r="461" spans="1:24">
      <c r="A461" s="5"/>
      <c r="B461" s="5"/>
      <c r="C461" s="5"/>
      <c r="D461" s="5"/>
      <c r="E461" s="5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5"/>
      <c r="V461" s="5"/>
      <c r="W461" s="5"/>
      <c r="X461" s="5"/>
    </row>
    <row r="462" spans="1:24">
      <c r="A462" s="5"/>
      <c r="B462" s="5"/>
      <c r="C462" s="5"/>
      <c r="D462" s="5"/>
      <c r="E462" s="5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5"/>
      <c r="V462" s="5"/>
      <c r="W462" s="5"/>
      <c r="X462" s="5"/>
    </row>
    <row r="463" spans="1:24">
      <c r="A463" s="5"/>
      <c r="B463" s="5"/>
      <c r="C463" s="5"/>
      <c r="D463" s="5"/>
      <c r="E463" s="5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5"/>
      <c r="V463" s="5"/>
      <c r="W463" s="5"/>
      <c r="X463" s="5"/>
    </row>
    <row r="464" spans="1:24">
      <c r="A464" s="5"/>
      <c r="B464" s="5"/>
      <c r="C464" s="5"/>
      <c r="D464" s="5"/>
      <c r="E464" s="5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5"/>
      <c r="V464" s="5"/>
      <c r="W464" s="5"/>
      <c r="X464" s="5"/>
    </row>
    <row r="465" spans="1:24">
      <c r="A465" s="5"/>
      <c r="B465" s="5"/>
      <c r="C465" s="5"/>
      <c r="D465" s="5"/>
      <c r="E465" s="5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5"/>
      <c r="V465" s="5"/>
      <c r="W465" s="5"/>
      <c r="X465" s="5"/>
    </row>
    <row r="466" spans="1:24">
      <c r="A466" s="5"/>
      <c r="B466" s="5"/>
      <c r="C466" s="5"/>
      <c r="D466" s="5"/>
      <c r="E466" s="5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5"/>
      <c r="V466" s="5"/>
      <c r="W466" s="5"/>
      <c r="X466" s="5"/>
    </row>
    <row r="467" spans="1:24">
      <c r="A467" s="5"/>
      <c r="B467" s="5"/>
      <c r="C467" s="5"/>
      <c r="D467" s="5"/>
      <c r="E467" s="5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5"/>
      <c r="V467" s="5"/>
      <c r="W467" s="5"/>
      <c r="X467" s="5"/>
    </row>
    <row r="468" spans="1:24">
      <c r="A468" s="5"/>
      <c r="B468" s="5"/>
      <c r="C468" s="5"/>
      <c r="D468" s="5"/>
      <c r="E468" s="5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5"/>
      <c r="V468" s="5"/>
      <c r="W468" s="5"/>
      <c r="X468" s="5"/>
    </row>
    <row r="469" spans="1:24">
      <c r="A469" s="5"/>
      <c r="B469" s="5"/>
      <c r="C469" s="5"/>
      <c r="D469" s="5"/>
      <c r="E469" s="5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5"/>
      <c r="V469" s="5"/>
      <c r="W469" s="5"/>
      <c r="X469" s="5"/>
    </row>
    <row r="470" spans="1:24">
      <c r="A470" s="5"/>
      <c r="B470" s="5"/>
      <c r="C470" s="5"/>
      <c r="D470" s="5"/>
      <c r="E470" s="5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5"/>
      <c r="V470" s="5"/>
      <c r="W470" s="5"/>
      <c r="X470" s="5"/>
    </row>
    <row r="471" spans="1:24">
      <c r="A471" s="5"/>
      <c r="B471" s="5"/>
      <c r="C471" s="5"/>
      <c r="D471" s="5"/>
      <c r="E471" s="5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5"/>
      <c r="V471" s="5"/>
      <c r="W471" s="5"/>
      <c r="X471" s="5"/>
    </row>
    <row r="472" spans="1:24">
      <c r="A472" s="5"/>
      <c r="B472" s="5"/>
      <c r="C472" s="5"/>
      <c r="D472" s="5"/>
      <c r="E472" s="5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5"/>
      <c r="V472" s="5"/>
      <c r="W472" s="5"/>
      <c r="X472" s="5"/>
    </row>
    <row r="473" spans="1:24">
      <c r="A473" s="5"/>
      <c r="B473" s="5"/>
      <c r="C473" s="5"/>
      <c r="D473" s="5"/>
      <c r="E473" s="5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5"/>
      <c r="V473" s="5"/>
      <c r="W473" s="5"/>
      <c r="X473" s="5"/>
    </row>
    <row r="474" spans="1:24">
      <c r="A474" s="5"/>
      <c r="B474" s="5"/>
      <c r="C474" s="5"/>
      <c r="D474" s="5"/>
      <c r="E474" s="5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5"/>
      <c r="V474" s="5"/>
      <c r="W474" s="5"/>
      <c r="X474" s="5"/>
    </row>
    <row r="475" spans="1:24">
      <c r="A475" s="5"/>
      <c r="B475" s="5"/>
      <c r="C475" s="5"/>
      <c r="D475" s="5"/>
      <c r="E475" s="5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5"/>
      <c r="V475" s="5"/>
      <c r="W475" s="5"/>
      <c r="X475" s="5"/>
    </row>
    <row r="476" spans="1:24">
      <c r="A476" s="5"/>
      <c r="B476" s="5"/>
      <c r="C476" s="5"/>
      <c r="D476" s="5"/>
      <c r="E476" s="5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5"/>
      <c r="V476" s="5"/>
      <c r="W476" s="5"/>
      <c r="X476" s="5"/>
    </row>
    <row r="477" spans="1:24">
      <c r="A477" s="5"/>
      <c r="B477" s="5"/>
      <c r="C477" s="5"/>
      <c r="D477" s="5"/>
      <c r="E477" s="5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5"/>
      <c r="V477" s="5"/>
      <c r="W477" s="5"/>
      <c r="X477" s="5"/>
    </row>
    <row r="478" spans="1:24">
      <c r="A478" s="5"/>
      <c r="B478" s="5"/>
      <c r="C478" s="5"/>
      <c r="D478" s="5"/>
      <c r="E478" s="5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5"/>
      <c r="V478" s="5"/>
      <c r="W478" s="5"/>
      <c r="X478" s="5"/>
    </row>
    <row r="479" spans="1:24">
      <c r="A479" s="5"/>
      <c r="B479" s="5"/>
      <c r="C479" s="5"/>
      <c r="D479" s="5"/>
      <c r="E479" s="5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5"/>
      <c r="V479" s="5"/>
      <c r="W479" s="5"/>
      <c r="X479" s="5"/>
    </row>
    <row r="480" spans="1:24">
      <c r="A480" s="5"/>
      <c r="B480" s="5"/>
      <c r="C480" s="5"/>
      <c r="D480" s="5"/>
      <c r="E480" s="5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5"/>
      <c r="V480" s="5"/>
      <c r="W480" s="5"/>
      <c r="X480" s="5"/>
    </row>
    <row r="481" spans="1:24">
      <c r="A481" s="5"/>
      <c r="B481" s="5"/>
      <c r="C481" s="5"/>
      <c r="D481" s="5"/>
      <c r="E481" s="5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5"/>
      <c r="V481" s="5"/>
      <c r="W481" s="5"/>
      <c r="X481" s="5"/>
    </row>
    <row r="482" spans="1:24">
      <c r="A482" s="5"/>
      <c r="B482" s="5"/>
      <c r="C482" s="5"/>
      <c r="D482" s="5"/>
      <c r="E482" s="5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5"/>
      <c r="V482" s="5"/>
      <c r="W482" s="5"/>
      <c r="X482" s="5"/>
    </row>
    <row r="483" spans="1:24">
      <c r="A483" s="5"/>
      <c r="B483" s="5"/>
      <c r="C483" s="5"/>
      <c r="D483" s="5"/>
      <c r="E483" s="5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5"/>
      <c r="V483" s="5"/>
      <c r="W483" s="5"/>
      <c r="X483" s="5"/>
    </row>
    <row r="484" spans="1:24">
      <c r="A484" s="5"/>
      <c r="B484" s="5"/>
      <c r="C484" s="5"/>
      <c r="D484" s="5"/>
      <c r="E484" s="5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5"/>
      <c r="V484" s="5"/>
      <c r="W484" s="5"/>
      <c r="X484" s="5"/>
    </row>
    <row r="485" spans="1:24">
      <c r="A485" s="5"/>
      <c r="B485" s="5"/>
      <c r="C485" s="5"/>
      <c r="D485" s="5"/>
      <c r="E485" s="5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5"/>
      <c r="V485" s="5"/>
      <c r="W485" s="5"/>
      <c r="X485" s="5"/>
    </row>
    <row r="486" spans="1:24">
      <c r="A486" s="5"/>
      <c r="B486" s="5"/>
      <c r="C486" s="5"/>
      <c r="D486" s="5"/>
      <c r="E486" s="5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5"/>
      <c r="V486" s="5"/>
      <c r="W486" s="5"/>
      <c r="X486" s="5"/>
    </row>
    <row r="487" spans="1:24">
      <c r="A487" s="5"/>
      <c r="B487" s="5"/>
      <c r="C487" s="5"/>
      <c r="D487" s="5"/>
      <c r="E487" s="5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5"/>
      <c r="V487" s="5"/>
      <c r="W487" s="5"/>
      <c r="X487" s="5"/>
    </row>
    <row r="488" spans="1:24">
      <c r="A488" s="5"/>
      <c r="B488" s="5"/>
      <c r="C488" s="5"/>
      <c r="D488" s="5"/>
      <c r="E488" s="5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5"/>
      <c r="V488" s="5"/>
      <c r="W488" s="5"/>
      <c r="X488" s="5"/>
    </row>
    <row r="489" spans="1:24">
      <c r="A489" s="5"/>
      <c r="B489" s="5"/>
      <c r="C489" s="5"/>
      <c r="D489" s="5"/>
      <c r="E489" s="5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5"/>
      <c r="V489" s="5"/>
      <c r="W489" s="5"/>
      <c r="X489" s="5"/>
    </row>
    <row r="490" spans="1:24">
      <c r="A490" s="5"/>
      <c r="B490" s="5"/>
      <c r="C490" s="5"/>
      <c r="D490" s="5"/>
      <c r="E490" s="5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5"/>
      <c r="V490" s="5"/>
      <c r="W490" s="5"/>
      <c r="X490" s="5"/>
    </row>
    <row r="491" spans="1:24">
      <c r="A491" s="5"/>
      <c r="B491" s="5"/>
      <c r="C491" s="5"/>
      <c r="D491" s="5"/>
      <c r="E491" s="5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5"/>
      <c r="V491" s="5"/>
      <c r="W491" s="5"/>
      <c r="X491" s="5"/>
    </row>
    <row r="492" spans="1:24">
      <c r="A492" s="5"/>
      <c r="B492" s="5"/>
      <c r="C492" s="5"/>
      <c r="D492" s="5"/>
      <c r="E492" s="5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5"/>
      <c r="V492" s="5"/>
      <c r="W492" s="5"/>
      <c r="X492" s="5"/>
    </row>
    <row r="493" spans="1:24">
      <c r="A493" s="5"/>
      <c r="B493" s="5"/>
      <c r="C493" s="5"/>
      <c r="D493" s="5"/>
      <c r="E493" s="5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5"/>
      <c r="V493" s="5"/>
      <c r="W493" s="5"/>
      <c r="X493" s="5"/>
    </row>
    <row r="494" spans="1:24">
      <c r="A494" s="5"/>
      <c r="B494" s="5"/>
      <c r="C494" s="5"/>
      <c r="D494" s="5"/>
      <c r="E494" s="5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5"/>
      <c r="V494" s="5"/>
      <c r="W494" s="5"/>
      <c r="X494" s="5"/>
    </row>
    <row r="495" spans="1:24">
      <c r="A495" s="5"/>
      <c r="B495" s="5"/>
      <c r="C495" s="5"/>
      <c r="D495" s="5"/>
      <c r="E495" s="5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5"/>
      <c r="V495" s="5"/>
      <c r="W495" s="5"/>
      <c r="X495" s="5"/>
    </row>
    <row r="496" spans="1:24">
      <c r="A496" s="5"/>
      <c r="B496" s="5"/>
      <c r="C496" s="5"/>
      <c r="D496" s="5"/>
      <c r="E496" s="5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5"/>
      <c r="V496" s="5"/>
      <c r="W496" s="5"/>
      <c r="X496" s="5"/>
    </row>
    <row r="497" spans="1:24">
      <c r="A497" s="5"/>
      <c r="B497" s="5"/>
      <c r="C497" s="5"/>
      <c r="D497" s="5"/>
      <c r="E497" s="5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5"/>
      <c r="V497" s="5"/>
      <c r="W497" s="5"/>
      <c r="X497" s="5"/>
    </row>
    <row r="498" spans="1:24">
      <c r="A498" s="5"/>
      <c r="B498" s="5"/>
      <c r="C498" s="5"/>
      <c r="D498" s="5"/>
      <c r="E498" s="5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5"/>
      <c r="V498" s="5"/>
      <c r="W498" s="5"/>
      <c r="X498" s="5"/>
    </row>
    <row r="499" spans="1:24">
      <c r="A499" s="5"/>
      <c r="B499" s="5"/>
      <c r="C499" s="5"/>
      <c r="D499" s="5"/>
      <c r="E499" s="5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5"/>
      <c r="V499" s="5"/>
      <c r="W499" s="5"/>
      <c r="X499" s="5"/>
    </row>
    <row r="500" spans="1:24">
      <c r="A500" s="5"/>
      <c r="B500" s="5"/>
      <c r="C500" s="5"/>
      <c r="D500" s="5"/>
      <c r="E500" s="5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5"/>
      <c r="V500" s="5"/>
      <c r="W500" s="5"/>
      <c r="X500" s="5"/>
    </row>
    <row r="501" spans="1:24">
      <c r="A501" s="5"/>
      <c r="B501" s="5"/>
      <c r="C501" s="5"/>
      <c r="D501" s="5"/>
      <c r="E501" s="5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5"/>
      <c r="V501" s="5"/>
      <c r="W501" s="5"/>
      <c r="X501" s="5"/>
    </row>
    <row r="502" spans="1:24">
      <c r="A502" s="5"/>
      <c r="B502" s="5"/>
      <c r="C502" s="5"/>
      <c r="D502" s="5"/>
      <c r="E502" s="5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5"/>
      <c r="V502" s="5"/>
      <c r="W502" s="5"/>
      <c r="X502" s="5"/>
    </row>
    <row r="503" spans="1:24">
      <c r="A503" s="5"/>
      <c r="B503" s="5"/>
      <c r="C503" s="5"/>
      <c r="D503" s="5"/>
      <c r="E503" s="5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5"/>
      <c r="V503" s="5"/>
      <c r="W503" s="5"/>
      <c r="X503" s="5"/>
    </row>
    <row r="504" spans="1:24">
      <c r="A504" s="5"/>
      <c r="B504" s="5"/>
      <c r="C504" s="5"/>
      <c r="D504" s="5"/>
      <c r="E504" s="5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5"/>
      <c r="V504" s="5"/>
      <c r="W504" s="5"/>
      <c r="X504" s="5"/>
    </row>
    <row r="505" spans="1:24">
      <c r="A505" s="5"/>
      <c r="B505" s="5"/>
      <c r="C505" s="5"/>
      <c r="D505" s="5"/>
      <c r="E505" s="5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5"/>
      <c r="V505" s="5"/>
      <c r="W505" s="5"/>
      <c r="X505" s="5"/>
    </row>
    <row r="506" spans="1:24">
      <c r="A506" s="5"/>
      <c r="B506" s="5"/>
      <c r="C506" s="5"/>
      <c r="D506" s="5"/>
      <c r="E506" s="5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5"/>
      <c r="V506" s="5"/>
      <c r="W506" s="5"/>
      <c r="X506" s="5"/>
    </row>
    <row r="507" spans="1:24">
      <c r="A507" s="5"/>
      <c r="B507" s="5"/>
      <c r="C507" s="5"/>
      <c r="D507" s="5"/>
      <c r="E507" s="5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5"/>
      <c r="V507" s="5"/>
      <c r="W507" s="5"/>
      <c r="X507" s="5"/>
    </row>
    <row r="508" spans="1:24">
      <c r="A508" s="5"/>
      <c r="B508" s="5"/>
      <c r="C508" s="5"/>
      <c r="D508" s="5"/>
      <c r="E508" s="5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5"/>
      <c r="V508" s="5"/>
      <c r="W508" s="5"/>
      <c r="X508" s="5"/>
    </row>
    <row r="509" spans="1:24">
      <c r="A509" s="5"/>
      <c r="B509" s="5"/>
      <c r="C509" s="5"/>
      <c r="D509" s="5"/>
      <c r="E509" s="5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5"/>
      <c r="V509" s="5"/>
      <c r="W509" s="5"/>
      <c r="X509" s="5"/>
    </row>
    <row r="510" spans="1:24">
      <c r="A510" s="5"/>
      <c r="B510" s="5"/>
      <c r="C510" s="5"/>
      <c r="D510" s="5"/>
      <c r="E510" s="5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5"/>
      <c r="V510" s="5"/>
      <c r="W510" s="5"/>
      <c r="X510" s="5"/>
    </row>
    <row r="511" spans="1:24">
      <c r="A511" s="5"/>
      <c r="B511" s="5"/>
      <c r="C511" s="5"/>
      <c r="D511" s="5"/>
      <c r="E511" s="5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5"/>
      <c r="V511" s="5"/>
      <c r="W511" s="5"/>
      <c r="X511" s="5"/>
    </row>
    <row r="512" spans="1:24">
      <c r="A512" s="5"/>
      <c r="B512" s="5"/>
      <c r="C512" s="5"/>
      <c r="D512" s="5"/>
      <c r="E512" s="5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5"/>
      <c r="V512" s="5"/>
      <c r="W512" s="5"/>
      <c r="X512" s="5"/>
    </row>
    <row r="513" spans="1:24">
      <c r="A513" s="5"/>
      <c r="B513" s="5"/>
      <c r="C513" s="5"/>
      <c r="D513" s="5"/>
      <c r="E513" s="5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5"/>
      <c r="V513" s="5"/>
      <c r="W513" s="5"/>
      <c r="X513" s="5"/>
    </row>
    <row r="514" spans="1:24">
      <c r="A514" s="5"/>
      <c r="B514" s="5"/>
      <c r="C514" s="5"/>
      <c r="D514" s="5"/>
      <c r="E514" s="5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5"/>
      <c r="V514" s="5"/>
      <c r="W514" s="5"/>
      <c r="X514" s="5"/>
    </row>
    <row r="515" spans="1:24">
      <c r="A515" s="5"/>
      <c r="B515" s="5"/>
      <c r="C515" s="5"/>
      <c r="D515" s="5"/>
      <c r="E515" s="5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5"/>
      <c r="V515" s="5"/>
      <c r="W515" s="5"/>
      <c r="X515" s="5"/>
    </row>
    <row r="516" spans="1:24">
      <c r="A516" s="5"/>
      <c r="B516" s="5"/>
      <c r="C516" s="5"/>
      <c r="D516" s="5"/>
      <c r="E516" s="5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5"/>
      <c r="V516" s="5"/>
      <c r="W516" s="5"/>
      <c r="X516" s="5"/>
    </row>
    <row r="517" spans="1:24">
      <c r="A517" s="5"/>
      <c r="B517" s="5"/>
      <c r="C517" s="5"/>
      <c r="D517" s="5"/>
      <c r="E517" s="5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5"/>
      <c r="V517" s="5"/>
      <c r="W517" s="5"/>
      <c r="X517" s="5"/>
    </row>
    <row r="518" spans="1:24">
      <c r="A518" s="5"/>
      <c r="B518" s="5"/>
      <c r="C518" s="5"/>
      <c r="D518" s="5"/>
      <c r="E518" s="5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5"/>
      <c r="V518" s="5"/>
      <c r="W518" s="5"/>
      <c r="X518" s="5"/>
    </row>
    <row r="519" spans="1:24">
      <c r="A519" s="5"/>
      <c r="B519" s="5"/>
      <c r="C519" s="5"/>
      <c r="D519" s="5"/>
      <c r="E519" s="5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5"/>
      <c r="V519" s="5"/>
      <c r="W519" s="5"/>
      <c r="X519" s="5"/>
    </row>
    <row r="520" spans="1:24">
      <c r="A520" s="5"/>
      <c r="B520" s="5"/>
      <c r="C520" s="5"/>
      <c r="D520" s="5"/>
      <c r="E520" s="5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5"/>
      <c r="V520" s="5"/>
      <c r="W520" s="5"/>
      <c r="X520" s="5"/>
    </row>
    <row r="521" spans="1:24">
      <c r="A521" s="5"/>
      <c r="B521" s="5"/>
      <c r="C521" s="5"/>
      <c r="D521" s="5"/>
      <c r="E521" s="5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5"/>
      <c r="V521" s="5"/>
      <c r="W521" s="5"/>
      <c r="X521" s="5"/>
    </row>
    <row r="522" spans="1:24">
      <c r="A522" s="5"/>
      <c r="B522" s="5"/>
      <c r="C522" s="5"/>
      <c r="D522" s="5"/>
      <c r="E522" s="5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5"/>
      <c r="V522" s="5"/>
      <c r="W522" s="5"/>
      <c r="X522" s="5"/>
    </row>
    <row r="523" spans="1:24">
      <c r="A523" s="5"/>
      <c r="B523" s="5"/>
      <c r="C523" s="5"/>
      <c r="D523" s="5"/>
      <c r="E523" s="5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5"/>
      <c r="V523" s="5"/>
      <c r="W523" s="5"/>
      <c r="X523" s="5"/>
    </row>
    <row r="524" spans="1:24">
      <c r="A524" s="5"/>
      <c r="B524" s="5"/>
      <c r="C524" s="5"/>
      <c r="D524" s="5"/>
      <c r="E524" s="5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5"/>
      <c r="V524" s="5"/>
      <c r="W524" s="5"/>
      <c r="X524" s="5"/>
    </row>
    <row r="525" spans="1:24">
      <c r="A525" s="5"/>
      <c r="B525" s="5"/>
      <c r="C525" s="5"/>
      <c r="D525" s="5"/>
      <c r="E525" s="5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5"/>
      <c r="V525" s="5"/>
      <c r="W525" s="5"/>
      <c r="X525" s="5"/>
    </row>
    <row r="526" spans="1:24">
      <c r="A526" s="5"/>
      <c r="B526" s="5"/>
      <c r="C526" s="5"/>
      <c r="D526" s="5"/>
      <c r="E526" s="5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5"/>
      <c r="V526" s="5"/>
      <c r="W526" s="5"/>
      <c r="X526" s="5"/>
    </row>
    <row r="527" spans="1:24">
      <c r="A527" s="5"/>
      <c r="B527" s="5"/>
      <c r="C527" s="5"/>
      <c r="D527" s="5"/>
      <c r="E527" s="5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5"/>
      <c r="V527" s="5"/>
      <c r="W527" s="5"/>
      <c r="X527" s="5"/>
    </row>
    <row r="528" spans="1:24">
      <c r="A528" s="5"/>
      <c r="B528" s="5"/>
      <c r="C528" s="5"/>
      <c r="D528" s="5"/>
      <c r="E528" s="5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5"/>
      <c r="V528" s="5"/>
      <c r="W528" s="5"/>
      <c r="X528" s="5"/>
    </row>
    <row r="529" spans="1:24">
      <c r="A529" s="5"/>
      <c r="B529" s="5"/>
      <c r="C529" s="5"/>
      <c r="D529" s="5"/>
      <c r="E529" s="5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5"/>
      <c r="V529" s="5"/>
      <c r="W529" s="5"/>
      <c r="X529" s="5"/>
    </row>
    <row r="530" spans="1:24">
      <c r="A530" s="5"/>
      <c r="B530" s="5"/>
      <c r="C530" s="5"/>
      <c r="D530" s="5"/>
      <c r="E530" s="5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5"/>
      <c r="V530" s="5"/>
      <c r="W530" s="5"/>
      <c r="X530" s="5"/>
    </row>
    <row r="531" spans="1:24">
      <c r="A531" s="5"/>
      <c r="B531" s="5"/>
      <c r="C531" s="5"/>
      <c r="D531" s="5"/>
      <c r="E531" s="5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5"/>
      <c r="V531" s="5"/>
      <c r="W531" s="5"/>
      <c r="X531" s="5"/>
    </row>
    <row r="532" spans="1:24">
      <c r="A532" s="5"/>
      <c r="B532" s="5"/>
      <c r="C532" s="5"/>
      <c r="D532" s="5"/>
      <c r="E532" s="5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5"/>
      <c r="V532" s="5"/>
      <c r="W532" s="5"/>
      <c r="X532" s="5"/>
    </row>
    <row r="533" spans="1:24">
      <c r="A533" s="5"/>
      <c r="B533" s="5"/>
      <c r="C533" s="5"/>
      <c r="D533" s="5"/>
      <c r="E533" s="5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5"/>
      <c r="V533" s="5"/>
      <c r="W533" s="5"/>
      <c r="X533" s="5"/>
    </row>
    <row r="534" spans="1:24">
      <c r="A534" s="5"/>
      <c r="B534" s="5"/>
      <c r="C534" s="5"/>
      <c r="D534" s="5"/>
      <c r="E534" s="5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5"/>
      <c r="V534" s="5"/>
      <c r="W534" s="5"/>
      <c r="X534" s="5"/>
    </row>
    <row r="535" spans="1:24">
      <c r="A535" s="5"/>
      <c r="B535" s="5"/>
      <c r="C535" s="5"/>
      <c r="D535" s="5"/>
      <c r="E535" s="5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5"/>
      <c r="V535" s="5"/>
      <c r="W535" s="5"/>
      <c r="X535" s="5"/>
    </row>
    <row r="536" spans="1:24">
      <c r="A536" s="5"/>
      <c r="B536" s="5"/>
      <c r="C536" s="5"/>
      <c r="D536" s="5"/>
      <c r="E536" s="5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5"/>
      <c r="V536" s="5"/>
      <c r="W536" s="5"/>
      <c r="X536" s="5"/>
    </row>
    <row r="537" spans="1:24">
      <c r="A537" s="5"/>
      <c r="B537" s="5"/>
      <c r="C537" s="5"/>
      <c r="D537" s="5"/>
      <c r="E537" s="5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5"/>
      <c r="V537" s="5"/>
      <c r="W537" s="5"/>
      <c r="X537" s="5"/>
    </row>
    <row r="538" spans="1:24">
      <c r="A538" s="5"/>
      <c r="B538" s="5"/>
      <c r="C538" s="5"/>
      <c r="D538" s="5"/>
      <c r="E538" s="5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5"/>
      <c r="V538" s="5"/>
      <c r="W538" s="5"/>
      <c r="X538" s="5"/>
    </row>
    <row r="539" spans="1:24">
      <c r="A539" s="5"/>
      <c r="B539" s="5"/>
      <c r="C539" s="5"/>
      <c r="D539" s="5"/>
      <c r="E539" s="5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5"/>
      <c r="V539" s="5"/>
      <c r="W539" s="5"/>
      <c r="X539" s="5"/>
    </row>
    <row r="540" spans="1:24">
      <c r="A540" s="5"/>
      <c r="B540" s="5"/>
      <c r="C540" s="5"/>
      <c r="D540" s="5"/>
      <c r="E540" s="5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5"/>
      <c r="V540" s="5"/>
      <c r="W540" s="5"/>
      <c r="X540" s="5"/>
    </row>
    <row r="541" spans="1:24">
      <c r="A541" s="5"/>
      <c r="B541" s="5"/>
      <c r="C541" s="5"/>
      <c r="D541" s="5"/>
      <c r="E541" s="5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5"/>
      <c r="V541" s="5"/>
      <c r="W541" s="5"/>
      <c r="X541" s="5"/>
    </row>
    <row r="542" spans="1:24">
      <c r="A542" s="5"/>
      <c r="B542" s="5"/>
      <c r="C542" s="5"/>
      <c r="D542" s="5"/>
      <c r="E542" s="5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5"/>
      <c r="V542" s="5"/>
      <c r="W542" s="5"/>
      <c r="X542" s="5"/>
    </row>
    <row r="543" spans="1:24">
      <c r="A543" s="5"/>
      <c r="B543" s="5"/>
      <c r="C543" s="5"/>
      <c r="D543" s="5"/>
      <c r="E543" s="5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5"/>
      <c r="V543" s="5"/>
      <c r="W543" s="5"/>
      <c r="X543" s="5"/>
    </row>
    <row r="544" spans="1:24">
      <c r="A544" s="5"/>
      <c r="B544" s="5"/>
      <c r="C544" s="5"/>
      <c r="D544" s="5"/>
      <c r="E544" s="5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5"/>
      <c r="V544" s="5"/>
      <c r="W544" s="5"/>
      <c r="X544" s="5"/>
    </row>
    <row r="545" spans="1:24">
      <c r="A545" s="5"/>
      <c r="B545" s="5"/>
      <c r="C545" s="5"/>
      <c r="D545" s="5"/>
      <c r="E545" s="5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5"/>
      <c r="V545" s="5"/>
      <c r="W545" s="5"/>
      <c r="X545" s="5"/>
    </row>
    <row r="546" spans="1:24">
      <c r="A546" s="5"/>
      <c r="B546" s="5"/>
      <c r="C546" s="5"/>
      <c r="D546" s="5"/>
      <c r="E546" s="5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5"/>
      <c r="V546" s="5"/>
      <c r="W546" s="5"/>
      <c r="X546" s="5"/>
    </row>
    <row r="547" spans="1:24">
      <c r="A547" s="5"/>
      <c r="B547" s="5"/>
      <c r="C547" s="5"/>
      <c r="D547" s="5"/>
      <c r="E547" s="5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5"/>
      <c r="V547" s="5"/>
      <c r="W547" s="5"/>
      <c r="X547" s="5"/>
    </row>
    <row r="548" spans="1:24">
      <c r="A548" s="5"/>
      <c r="B548" s="5"/>
      <c r="C548" s="5"/>
      <c r="D548" s="5"/>
      <c r="E548" s="5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5"/>
      <c r="V548" s="5"/>
      <c r="W548" s="5"/>
      <c r="X548" s="5"/>
    </row>
    <row r="549" spans="1:24">
      <c r="A549" s="5"/>
      <c r="B549" s="5"/>
      <c r="C549" s="5"/>
      <c r="D549" s="5"/>
      <c r="E549" s="5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5"/>
      <c r="V549" s="5"/>
      <c r="W549" s="5"/>
      <c r="X549" s="5"/>
    </row>
    <row r="550" spans="1:24">
      <c r="A550" s="5"/>
      <c r="B550" s="5"/>
      <c r="C550" s="5"/>
      <c r="D550" s="5"/>
      <c r="E550" s="5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5"/>
      <c r="V550" s="5"/>
      <c r="W550" s="5"/>
      <c r="X550" s="5"/>
    </row>
    <row r="551" spans="1:24">
      <c r="A551" s="5"/>
      <c r="B551" s="5"/>
      <c r="C551" s="5"/>
      <c r="D551" s="5"/>
      <c r="E551" s="5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5"/>
      <c r="V551" s="5"/>
      <c r="W551" s="5"/>
      <c r="X551" s="5"/>
    </row>
    <row r="552" spans="1:24">
      <c r="A552" s="5"/>
      <c r="B552" s="5"/>
      <c r="C552" s="5"/>
      <c r="D552" s="5"/>
      <c r="E552" s="5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5"/>
      <c r="V552" s="5"/>
      <c r="W552" s="5"/>
      <c r="X552" s="5"/>
    </row>
    <row r="553" spans="1:24">
      <c r="A553" s="5"/>
      <c r="B553" s="5"/>
      <c r="C553" s="5"/>
      <c r="D553" s="5"/>
      <c r="E553" s="5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5"/>
      <c r="V553" s="5"/>
      <c r="W553" s="5"/>
      <c r="X553" s="5"/>
    </row>
    <row r="554" spans="1:24">
      <c r="A554" s="5"/>
      <c r="B554" s="5"/>
      <c r="C554" s="5"/>
      <c r="D554" s="5"/>
      <c r="E554" s="5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5"/>
      <c r="V554" s="5"/>
      <c r="W554" s="5"/>
      <c r="X554" s="5"/>
    </row>
    <row r="555" spans="1:24">
      <c r="A555" s="5"/>
      <c r="B555" s="5"/>
      <c r="C555" s="5"/>
      <c r="D555" s="5"/>
      <c r="E555" s="5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5"/>
      <c r="V555" s="5"/>
      <c r="W555" s="5"/>
      <c r="X555" s="5"/>
    </row>
    <row r="556" spans="1:24">
      <c r="A556" s="5"/>
      <c r="B556" s="5"/>
      <c r="C556" s="5"/>
      <c r="D556" s="5"/>
      <c r="E556" s="5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5"/>
      <c r="V556" s="5"/>
      <c r="W556" s="5"/>
      <c r="X556" s="5"/>
    </row>
    <row r="557" spans="1:24">
      <c r="A557" s="5"/>
      <c r="B557" s="5"/>
      <c r="C557" s="5"/>
      <c r="D557" s="5"/>
      <c r="E557" s="5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5"/>
      <c r="V557" s="5"/>
      <c r="W557" s="5"/>
      <c r="X557" s="5"/>
    </row>
    <row r="558" spans="1:24">
      <c r="A558" s="5"/>
      <c r="B558" s="5"/>
      <c r="C558" s="5"/>
      <c r="D558" s="5"/>
      <c r="E558" s="5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5"/>
      <c r="V558" s="5"/>
      <c r="W558" s="5"/>
      <c r="X558" s="5"/>
    </row>
    <row r="559" spans="1:24">
      <c r="A559" s="5"/>
      <c r="B559" s="5"/>
      <c r="C559" s="5"/>
      <c r="D559" s="5"/>
      <c r="E559" s="5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5"/>
      <c r="V559" s="5"/>
      <c r="W559" s="5"/>
      <c r="X559" s="5"/>
    </row>
    <row r="560" spans="1:24">
      <c r="A560" s="5"/>
      <c r="B560" s="5"/>
      <c r="C560" s="5"/>
      <c r="D560" s="5"/>
      <c r="E560" s="5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5"/>
      <c r="V560" s="5"/>
      <c r="W560" s="5"/>
      <c r="X560" s="5"/>
    </row>
    <row r="561" spans="1:24">
      <c r="A561" s="5"/>
      <c r="B561" s="5"/>
      <c r="C561" s="5"/>
      <c r="D561" s="5"/>
      <c r="E561" s="5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5"/>
      <c r="V561" s="5"/>
      <c r="W561" s="5"/>
      <c r="X561" s="5"/>
    </row>
    <row r="562" spans="1:24">
      <c r="A562" s="5"/>
      <c r="B562" s="5"/>
      <c r="C562" s="5"/>
      <c r="D562" s="5"/>
      <c r="E562" s="5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5"/>
      <c r="V562" s="5"/>
      <c r="W562" s="5"/>
      <c r="X562" s="5"/>
    </row>
    <row r="563" spans="1:24">
      <c r="A563" s="5"/>
      <c r="B563" s="5"/>
      <c r="C563" s="5"/>
      <c r="D563" s="5"/>
      <c r="E563" s="5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5"/>
      <c r="V563" s="5"/>
      <c r="W563" s="5"/>
      <c r="X563" s="5"/>
    </row>
    <row r="564" spans="1:24">
      <c r="A564" s="5"/>
      <c r="B564" s="5"/>
      <c r="C564" s="5"/>
      <c r="D564" s="5"/>
      <c r="E564" s="5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5"/>
      <c r="V564" s="5"/>
      <c r="W564" s="5"/>
      <c r="X564" s="5"/>
    </row>
    <row r="565" spans="1:24">
      <c r="A565" s="5"/>
      <c r="B565" s="5"/>
      <c r="C565" s="5"/>
      <c r="D565" s="5"/>
      <c r="E565" s="5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5"/>
      <c r="V565" s="5"/>
      <c r="W565" s="5"/>
      <c r="X565" s="5"/>
    </row>
    <row r="566" spans="1:24">
      <c r="A566" s="5"/>
      <c r="B566" s="5"/>
      <c r="C566" s="5"/>
      <c r="D566" s="5"/>
      <c r="E566" s="5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5"/>
      <c r="V566" s="5"/>
      <c r="W566" s="5"/>
      <c r="X566" s="5"/>
    </row>
    <row r="567" spans="1:24">
      <c r="A567" s="5"/>
      <c r="B567" s="5"/>
      <c r="C567" s="5"/>
      <c r="D567" s="5"/>
      <c r="E567" s="5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5"/>
      <c r="V567" s="5"/>
      <c r="W567" s="5"/>
      <c r="X567" s="5"/>
    </row>
    <row r="568" spans="1:24">
      <c r="A568" s="5"/>
      <c r="B568" s="5"/>
      <c r="C568" s="5"/>
      <c r="D568" s="5"/>
      <c r="E568" s="5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5"/>
      <c r="V568" s="5"/>
      <c r="W568" s="5"/>
      <c r="X568" s="5"/>
    </row>
    <row r="569" spans="1:24">
      <c r="A569" s="5"/>
      <c r="B569" s="5"/>
      <c r="C569" s="5"/>
      <c r="D569" s="5"/>
      <c r="E569" s="5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5"/>
      <c r="V569" s="5"/>
      <c r="W569" s="5"/>
      <c r="X569" s="5"/>
    </row>
    <row r="570" spans="1:24">
      <c r="A570" s="5"/>
      <c r="B570" s="5"/>
      <c r="C570" s="5"/>
      <c r="D570" s="5"/>
      <c r="E570" s="5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5"/>
      <c r="V570" s="5"/>
      <c r="W570" s="5"/>
      <c r="X570" s="5"/>
    </row>
    <row r="571" spans="1:24">
      <c r="A571" s="5"/>
      <c r="B571" s="5"/>
      <c r="C571" s="5"/>
      <c r="D571" s="5"/>
      <c r="E571" s="5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5"/>
      <c r="V571" s="5"/>
      <c r="W571" s="5"/>
      <c r="X571" s="5"/>
    </row>
    <row r="572" spans="1:24">
      <c r="A572" s="5"/>
      <c r="B572" s="5"/>
      <c r="C572" s="5"/>
      <c r="D572" s="5"/>
      <c r="E572" s="5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5"/>
      <c r="V572" s="5"/>
      <c r="W572" s="5"/>
      <c r="X572" s="5"/>
    </row>
    <row r="573" spans="1:24">
      <c r="A573" s="5"/>
      <c r="B573" s="5"/>
      <c r="C573" s="5"/>
      <c r="D573" s="5"/>
      <c r="E573" s="5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5"/>
      <c r="V573" s="5"/>
      <c r="W573" s="5"/>
      <c r="X573" s="5"/>
    </row>
    <row r="574" spans="1:24">
      <c r="A574" s="5"/>
      <c r="B574" s="5"/>
      <c r="C574" s="5"/>
      <c r="D574" s="5"/>
      <c r="E574" s="5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5"/>
      <c r="V574" s="5"/>
      <c r="W574" s="5"/>
      <c r="X574" s="5"/>
    </row>
    <row r="575" spans="1:24">
      <c r="A575" s="5"/>
      <c r="B575" s="5"/>
      <c r="C575" s="5"/>
      <c r="D575" s="5"/>
      <c r="E575" s="5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5"/>
      <c r="V575" s="5"/>
      <c r="W575" s="5"/>
      <c r="X575" s="5"/>
    </row>
    <row r="576" spans="1:24">
      <c r="A576" s="5"/>
      <c r="B576" s="5"/>
      <c r="C576" s="5"/>
      <c r="D576" s="5"/>
      <c r="E576" s="5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5"/>
      <c r="V576" s="5"/>
      <c r="W576" s="5"/>
      <c r="X576" s="5"/>
    </row>
    <row r="577" spans="1:24">
      <c r="A577" s="5"/>
      <c r="B577" s="5"/>
      <c r="C577" s="5"/>
      <c r="D577" s="5"/>
      <c r="E577" s="5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5"/>
      <c r="V577" s="5"/>
      <c r="W577" s="5"/>
      <c r="X577" s="5"/>
    </row>
    <row r="578" spans="1:24">
      <c r="A578" s="5"/>
      <c r="B578" s="5"/>
      <c r="C578" s="5"/>
      <c r="D578" s="5"/>
      <c r="E578" s="5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5"/>
      <c r="V578" s="5"/>
      <c r="W578" s="5"/>
      <c r="X578" s="5"/>
    </row>
    <row r="579" spans="1:24">
      <c r="A579" s="5"/>
      <c r="B579" s="5"/>
      <c r="C579" s="5"/>
      <c r="D579" s="5"/>
      <c r="E579" s="5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5"/>
      <c r="V579" s="5"/>
      <c r="W579" s="5"/>
      <c r="X579" s="5"/>
    </row>
    <row r="580" spans="1:24">
      <c r="A580" s="5"/>
      <c r="B580" s="5"/>
      <c r="C580" s="5"/>
      <c r="D580" s="5"/>
      <c r="E580" s="5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5"/>
      <c r="V580" s="5"/>
      <c r="W580" s="5"/>
      <c r="X580" s="5"/>
    </row>
    <row r="581" spans="1:24">
      <c r="A581" s="5"/>
      <c r="B581" s="5"/>
      <c r="C581" s="5"/>
      <c r="D581" s="5"/>
      <c r="E581" s="5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5"/>
      <c r="V581" s="5"/>
      <c r="W581" s="5"/>
      <c r="X581" s="5"/>
    </row>
    <row r="582" spans="1:24">
      <c r="A582" s="5"/>
      <c r="B582" s="5"/>
      <c r="C582" s="5"/>
      <c r="D582" s="5"/>
      <c r="E582" s="5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5"/>
      <c r="V582" s="5"/>
      <c r="W582" s="5"/>
      <c r="X582" s="5"/>
    </row>
    <row r="583" spans="1:24">
      <c r="A583" s="5"/>
      <c r="B583" s="5"/>
      <c r="C583" s="5"/>
      <c r="D583" s="5"/>
      <c r="E583" s="5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5"/>
      <c r="V583" s="5"/>
      <c r="W583" s="5"/>
      <c r="X583" s="5"/>
    </row>
    <row r="584" spans="1:24">
      <c r="A584" s="5"/>
      <c r="B584" s="5"/>
      <c r="C584" s="5"/>
      <c r="D584" s="5"/>
      <c r="E584" s="5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5"/>
      <c r="V584" s="5"/>
      <c r="W584" s="5"/>
      <c r="X584" s="5"/>
    </row>
    <row r="585" spans="1:24">
      <c r="A585" s="5"/>
      <c r="B585" s="5"/>
      <c r="C585" s="5"/>
      <c r="D585" s="5"/>
      <c r="E585" s="5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5"/>
      <c r="V585" s="5"/>
      <c r="W585" s="5"/>
      <c r="X585" s="5"/>
    </row>
    <row r="586" spans="1:24">
      <c r="A586" s="5"/>
      <c r="B586" s="5"/>
      <c r="C586" s="5"/>
      <c r="D586" s="5"/>
      <c r="E586" s="5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5"/>
      <c r="V586" s="5"/>
      <c r="W586" s="5"/>
      <c r="X586" s="5"/>
    </row>
    <row r="587" spans="1:24">
      <c r="A587" s="5"/>
      <c r="B587" s="5"/>
      <c r="C587" s="5"/>
      <c r="D587" s="5"/>
      <c r="E587" s="5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5"/>
      <c r="V587" s="5"/>
      <c r="W587" s="5"/>
      <c r="X587" s="5"/>
    </row>
    <row r="588" spans="1:24">
      <c r="A588" s="5"/>
      <c r="B588" s="5"/>
      <c r="C588" s="5"/>
      <c r="D588" s="5"/>
      <c r="E588" s="5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5"/>
      <c r="V588" s="5"/>
      <c r="W588" s="5"/>
      <c r="X588" s="5"/>
    </row>
    <row r="589" spans="1:24">
      <c r="A589" s="5"/>
      <c r="B589" s="5"/>
      <c r="C589" s="5"/>
      <c r="D589" s="5"/>
      <c r="E589" s="5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5"/>
      <c r="V589" s="5"/>
      <c r="W589" s="5"/>
      <c r="X589" s="5"/>
    </row>
    <row r="590" spans="1:24">
      <c r="A590" s="5"/>
      <c r="B590" s="5"/>
      <c r="C590" s="5"/>
      <c r="D590" s="5"/>
      <c r="E590" s="5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5"/>
      <c r="V590" s="5"/>
      <c r="W590" s="5"/>
      <c r="X590" s="5"/>
    </row>
    <row r="591" spans="1:24">
      <c r="A591" s="5"/>
      <c r="B591" s="5"/>
      <c r="C591" s="5"/>
      <c r="D591" s="5"/>
      <c r="E591" s="5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5"/>
      <c r="V591" s="5"/>
      <c r="W591" s="5"/>
      <c r="X591" s="5"/>
    </row>
    <row r="592" spans="1:24">
      <c r="A592" s="5"/>
      <c r="B592" s="5"/>
      <c r="C592" s="5"/>
      <c r="D592" s="5"/>
      <c r="E592" s="5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5"/>
      <c r="V592" s="5"/>
      <c r="W592" s="5"/>
      <c r="X592" s="5"/>
    </row>
    <row r="593" spans="1:24">
      <c r="A593" s="5"/>
      <c r="B593" s="5"/>
      <c r="C593" s="5"/>
      <c r="D593" s="5"/>
      <c r="E593" s="5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5"/>
      <c r="V593" s="5"/>
      <c r="W593" s="5"/>
      <c r="X593" s="5"/>
    </row>
    <row r="594" spans="1:24">
      <c r="A594" s="5"/>
      <c r="B594" s="5"/>
      <c r="C594" s="5"/>
      <c r="D594" s="5"/>
      <c r="E594" s="5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5"/>
      <c r="V594" s="5"/>
      <c r="W594" s="5"/>
      <c r="X594" s="5"/>
    </row>
    <row r="595" spans="1:24">
      <c r="A595" s="5"/>
      <c r="B595" s="5"/>
      <c r="C595" s="5"/>
      <c r="D595" s="5"/>
      <c r="E595" s="5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5"/>
      <c r="V595" s="5"/>
      <c r="W595" s="5"/>
      <c r="X595" s="5"/>
    </row>
    <row r="596" spans="1:24">
      <c r="A596" s="5"/>
      <c r="B596" s="5"/>
      <c r="C596" s="5"/>
      <c r="D596" s="5"/>
      <c r="E596" s="5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5"/>
      <c r="V596" s="5"/>
      <c r="W596" s="5"/>
      <c r="X596" s="5"/>
    </row>
    <row r="597" spans="1:24">
      <c r="A597" s="5"/>
      <c r="B597" s="5"/>
      <c r="C597" s="5"/>
      <c r="D597" s="5"/>
      <c r="E597" s="5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5"/>
      <c r="V597" s="5"/>
      <c r="W597" s="5"/>
      <c r="X597" s="5"/>
    </row>
    <row r="598" spans="1:24">
      <c r="A598" s="5"/>
      <c r="B598" s="5"/>
      <c r="C598" s="5"/>
      <c r="D598" s="5"/>
      <c r="E598" s="5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5"/>
      <c r="V598" s="5"/>
      <c r="W598" s="5"/>
      <c r="X598" s="5"/>
    </row>
    <row r="599" spans="1:24">
      <c r="A599" s="5"/>
      <c r="B599" s="5"/>
      <c r="C599" s="5"/>
      <c r="D599" s="5"/>
      <c r="E599" s="5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5"/>
      <c r="V599" s="5"/>
      <c r="W599" s="5"/>
      <c r="X599" s="5"/>
    </row>
    <row r="600" spans="1:24">
      <c r="A600" s="5"/>
      <c r="B600" s="5"/>
      <c r="C600" s="5"/>
      <c r="D600" s="5"/>
      <c r="E600" s="5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5"/>
      <c r="V600" s="5"/>
      <c r="W600" s="5"/>
      <c r="X600" s="5"/>
    </row>
    <row r="601" spans="1:24">
      <c r="A601" s="5"/>
      <c r="B601" s="5"/>
      <c r="C601" s="5"/>
      <c r="D601" s="5"/>
      <c r="E601" s="5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5"/>
      <c r="V601" s="5"/>
      <c r="W601" s="5"/>
      <c r="X601" s="5"/>
    </row>
    <row r="602" spans="1:24">
      <c r="A602" s="5"/>
      <c r="B602" s="5"/>
      <c r="C602" s="5"/>
      <c r="D602" s="5"/>
      <c r="E602" s="5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5"/>
      <c r="V602" s="5"/>
      <c r="W602" s="5"/>
      <c r="X602" s="5"/>
    </row>
    <row r="603" spans="1:24">
      <c r="A603" s="5"/>
      <c r="B603" s="5"/>
      <c r="C603" s="5"/>
      <c r="D603" s="5"/>
      <c r="E603" s="5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5"/>
      <c r="V603" s="5"/>
      <c r="W603" s="5"/>
      <c r="X603" s="5"/>
    </row>
    <row r="604" spans="1:24">
      <c r="A604" s="5"/>
      <c r="B604" s="5"/>
      <c r="C604" s="5"/>
      <c r="D604" s="5"/>
      <c r="E604" s="5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5"/>
      <c r="V604" s="5"/>
      <c r="W604" s="5"/>
      <c r="X604" s="5"/>
    </row>
    <row r="605" spans="1:24">
      <c r="A605" s="5"/>
      <c r="B605" s="5"/>
      <c r="C605" s="5"/>
      <c r="D605" s="5"/>
      <c r="E605" s="5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5"/>
      <c r="V605" s="5"/>
      <c r="W605" s="5"/>
      <c r="X605" s="5"/>
    </row>
    <row r="606" spans="1:24">
      <c r="A606" s="5"/>
      <c r="B606" s="5"/>
      <c r="C606" s="5"/>
      <c r="D606" s="5"/>
      <c r="E606" s="5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5"/>
      <c r="V606" s="5"/>
      <c r="W606" s="5"/>
      <c r="X606" s="5"/>
    </row>
    <row r="607" spans="1:24">
      <c r="A607" s="5"/>
      <c r="B607" s="5"/>
      <c r="C607" s="5"/>
      <c r="D607" s="5"/>
      <c r="E607" s="5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5"/>
      <c r="V607" s="5"/>
      <c r="W607" s="5"/>
      <c r="X607" s="5"/>
    </row>
    <row r="608" spans="1:24">
      <c r="A608" s="5"/>
      <c r="B608" s="5"/>
      <c r="C608" s="5"/>
      <c r="D608" s="5"/>
      <c r="E608" s="5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5"/>
      <c r="V608" s="5"/>
      <c r="W608" s="5"/>
      <c r="X608" s="5"/>
    </row>
    <row r="609" spans="1:24">
      <c r="A609" s="5"/>
      <c r="B609" s="5"/>
      <c r="C609" s="5"/>
      <c r="D609" s="5"/>
      <c r="E609" s="5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5"/>
      <c r="V609" s="5"/>
      <c r="W609" s="5"/>
      <c r="X609" s="5"/>
    </row>
    <row r="610" spans="1:24">
      <c r="A610" s="5"/>
      <c r="B610" s="5"/>
      <c r="C610" s="5"/>
      <c r="D610" s="5"/>
      <c r="E610" s="5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5"/>
      <c r="V610" s="5"/>
      <c r="W610" s="5"/>
      <c r="X610" s="5"/>
    </row>
    <row r="611" spans="1:24">
      <c r="A611" s="5"/>
      <c r="B611" s="5"/>
      <c r="C611" s="5"/>
      <c r="D611" s="5"/>
      <c r="E611" s="5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5"/>
      <c r="V611" s="5"/>
      <c r="W611" s="5"/>
      <c r="X611" s="5"/>
    </row>
    <row r="612" spans="1:24">
      <c r="A612" s="5"/>
      <c r="B612" s="5"/>
      <c r="C612" s="5"/>
      <c r="D612" s="5"/>
      <c r="E612" s="5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5"/>
      <c r="V612" s="5"/>
      <c r="W612" s="5"/>
      <c r="X612" s="5"/>
    </row>
    <row r="613" spans="1:24">
      <c r="A613" s="5"/>
      <c r="B613" s="5"/>
      <c r="C613" s="5"/>
      <c r="D613" s="5"/>
      <c r="E613" s="5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5"/>
      <c r="V613" s="5"/>
      <c r="W613" s="5"/>
      <c r="X613" s="5"/>
    </row>
    <row r="614" spans="1:24">
      <c r="A614" s="5"/>
      <c r="B614" s="5"/>
      <c r="C614" s="5"/>
      <c r="D614" s="5"/>
      <c r="E614" s="5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5"/>
      <c r="V614" s="5"/>
      <c r="W614" s="5"/>
      <c r="X614" s="5"/>
    </row>
    <row r="615" spans="1:24">
      <c r="A615" s="5"/>
      <c r="B615" s="5"/>
      <c r="C615" s="5"/>
      <c r="D615" s="5"/>
      <c r="E615" s="5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5"/>
      <c r="V615" s="5"/>
      <c r="W615" s="5"/>
      <c r="X615" s="5"/>
    </row>
    <row r="616" spans="1:24">
      <c r="A616" s="5"/>
      <c r="B616" s="5"/>
      <c r="C616" s="5"/>
      <c r="D616" s="5"/>
      <c r="E616" s="5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5"/>
      <c r="V616" s="5"/>
      <c r="W616" s="5"/>
      <c r="X616" s="5"/>
    </row>
    <row r="617" spans="1:24">
      <c r="A617" s="5"/>
      <c r="B617" s="5"/>
      <c r="C617" s="5"/>
      <c r="D617" s="5"/>
      <c r="E617" s="5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5"/>
      <c r="V617" s="5"/>
      <c r="W617" s="5"/>
      <c r="X617" s="5"/>
    </row>
    <row r="618" spans="1:24">
      <c r="A618" s="5"/>
      <c r="B618" s="5"/>
      <c r="C618" s="5"/>
      <c r="D618" s="5"/>
      <c r="E618" s="5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5"/>
      <c r="V618" s="5"/>
      <c r="W618" s="5"/>
      <c r="X618" s="5"/>
    </row>
    <row r="619" spans="1:24">
      <c r="A619" s="5"/>
      <c r="B619" s="5"/>
      <c r="C619" s="5"/>
      <c r="D619" s="5"/>
      <c r="E619" s="5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5"/>
      <c r="V619" s="5"/>
      <c r="W619" s="5"/>
      <c r="X619" s="5"/>
    </row>
    <row r="620" spans="1:24">
      <c r="A620" s="5"/>
      <c r="B620" s="5"/>
      <c r="C620" s="5"/>
      <c r="D620" s="5"/>
      <c r="E620" s="5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5"/>
      <c r="V620" s="5"/>
      <c r="W620" s="5"/>
      <c r="X620" s="5"/>
    </row>
    <row r="621" spans="1:24">
      <c r="A621" s="5"/>
      <c r="B621" s="5"/>
      <c r="C621" s="5"/>
      <c r="D621" s="5"/>
      <c r="E621" s="5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5"/>
      <c r="V621" s="5"/>
      <c r="W621" s="5"/>
      <c r="X621" s="5"/>
    </row>
    <row r="622" spans="1:24">
      <c r="A622" s="5"/>
      <c r="B622" s="5"/>
      <c r="C622" s="5"/>
      <c r="D622" s="5"/>
      <c r="E622" s="5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5"/>
      <c r="V622" s="5"/>
      <c r="W622" s="5"/>
      <c r="X622" s="5"/>
    </row>
    <row r="623" spans="1:24">
      <c r="A623" s="5"/>
      <c r="B623" s="5"/>
      <c r="C623" s="5"/>
      <c r="D623" s="5"/>
      <c r="E623" s="5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5"/>
      <c r="V623" s="5"/>
      <c r="W623" s="5"/>
      <c r="X623" s="5"/>
    </row>
    <row r="624" spans="1:24">
      <c r="A624" s="5"/>
      <c r="B624" s="5"/>
      <c r="C624" s="5"/>
      <c r="D624" s="5"/>
      <c r="E624" s="5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5"/>
      <c r="V624" s="5"/>
      <c r="W624" s="5"/>
      <c r="X624" s="5"/>
    </row>
    <row r="625" spans="1:24">
      <c r="A625" s="5"/>
      <c r="B625" s="5"/>
      <c r="C625" s="5"/>
      <c r="D625" s="5"/>
      <c r="E625" s="5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5"/>
      <c r="V625" s="5"/>
      <c r="W625" s="5"/>
      <c r="X625" s="5"/>
    </row>
    <row r="626" spans="1:24">
      <c r="A626" s="5"/>
      <c r="B626" s="5"/>
      <c r="C626" s="5"/>
      <c r="D626" s="5"/>
      <c r="E626" s="5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5"/>
      <c r="V626" s="5"/>
      <c r="W626" s="5"/>
      <c r="X626" s="5"/>
    </row>
    <row r="627" spans="1:24">
      <c r="A627" s="5"/>
      <c r="B627" s="5"/>
      <c r="C627" s="5"/>
      <c r="D627" s="5"/>
      <c r="E627" s="5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5"/>
      <c r="V627" s="5"/>
      <c r="W627" s="5"/>
      <c r="X627" s="5"/>
    </row>
    <row r="628" spans="1:24">
      <c r="A628" s="5"/>
      <c r="B628" s="5"/>
      <c r="C628" s="5"/>
      <c r="D628" s="5"/>
      <c r="E628" s="5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5"/>
      <c r="V628" s="5"/>
      <c r="W628" s="5"/>
      <c r="X628" s="5"/>
    </row>
    <row r="629" spans="1:24">
      <c r="A629" s="5"/>
      <c r="B629" s="5"/>
      <c r="C629" s="5"/>
      <c r="D629" s="5"/>
      <c r="E629" s="5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5"/>
      <c r="V629" s="5"/>
      <c r="W629" s="5"/>
      <c r="X629" s="5"/>
    </row>
    <row r="630" spans="1:24">
      <c r="A630" s="5"/>
      <c r="B630" s="5"/>
      <c r="C630" s="5"/>
      <c r="D630" s="5"/>
      <c r="E630" s="5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5"/>
      <c r="V630" s="5"/>
      <c r="W630" s="5"/>
      <c r="X630" s="5"/>
    </row>
    <row r="631" spans="1:24">
      <c r="A631" s="5"/>
      <c r="B631" s="5"/>
      <c r="C631" s="5"/>
      <c r="D631" s="5"/>
      <c r="E631" s="5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5"/>
      <c r="V631" s="5"/>
      <c r="W631" s="5"/>
      <c r="X631" s="5"/>
    </row>
    <row r="632" spans="1:24">
      <c r="A632" s="5"/>
      <c r="B632" s="5"/>
      <c r="C632" s="5"/>
      <c r="D632" s="5"/>
      <c r="E632" s="5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5"/>
      <c r="V632" s="5"/>
      <c r="W632" s="5"/>
      <c r="X632" s="5"/>
    </row>
    <row r="633" spans="1:24">
      <c r="A633" s="5"/>
      <c r="B633" s="5"/>
      <c r="C633" s="5"/>
      <c r="D633" s="5"/>
      <c r="E633" s="5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5"/>
      <c r="V633" s="5"/>
      <c r="W633" s="5"/>
      <c r="X633" s="5"/>
    </row>
    <row r="634" spans="1:24">
      <c r="A634" s="5"/>
      <c r="B634" s="5"/>
      <c r="C634" s="5"/>
      <c r="D634" s="5"/>
      <c r="E634" s="5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5"/>
      <c r="V634" s="5"/>
      <c r="W634" s="5"/>
      <c r="X634" s="5"/>
    </row>
    <row r="635" spans="1:24">
      <c r="A635" s="5"/>
      <c r="B635" s="5"/>
      <c r="C635" s="5"/>
      <c r="D635" s="5"/>
      <c r="E635" s="5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5"/>
      <c r="V635" s="5"/>
      <c r="W635" s="5"/>
      <c r="X635" s="5"/>
    </row>
    <row r="636" spans="1:24">
      <c r="A636" s="5"/>
      <c r="B636" s="5"/>
      <c r="C636" s="5"/>
      <c r="D636" s="5"/>
      <c r="E636" s="5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5"/>
      <c r="V636" s="5"/>
      <c r="W636" s="5"/>
      <c r="X636" s="5"/>
    </row>
    <row r="637" spans="1:24">
      <c r="A637" s="5"/>
      <c r="B637" s="5"/>
      <c r="C637" s="5"/>
      <c r="D637" s="5"/>
      <c r="E637" s="5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5"/>
      <c r="V637" s="5"/>
      <c r="W637" s="5"/>
      <c r="X637" s="5"/>
    </row>
    <row r="638" spans="1:24">
      <c r="A638" s="5"/>
      <c r="B638" s="5"/>
      <c r="C638" s="5"/>
      <c r="D638" s="5"/>
      <c r="E638" s="5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5"/>
      <c r="V638" s="5"/>
      <c r="W638" s="5"/>
      <c r="X638" s="5"/>
    </row>
    <row r="639" spans="1:24">
      <c r="A639" s="5"/>
      <c r="B639" s="5"/>
      <c r="C639" s="5"/>
      <c r="D639" s="5"/>
      <c r="E639" s="5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5"/>
      <c r="V639" s="5"/>
      <c r="W639" s="5"/>
      <c r="X639" s="5"/>
    </row>
    <row r="640" spans="1:24">
      <c r="A640" s="5"/>
      <c r="B640" s="5"/>
      <c r="C640" s="5"/>
      <c r="D640" s="5"/>
      <c r="E640" s="5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5"/>
      <c r="V640" s="5"/>
      <c r="W640" s="5"/>
      <c r="X640" s="5"/>
    </row>
    <row r="641" spans="1:24">
      <c r="A641" s="5"/>
      <c r="B641" s="5"/>
      <c r="C641" s="5"/>
      <c r="D641" s="5"/>
      <c r="E641" s="5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5"/>
      <c r="V641" s="5"/>
      <c r="W641" s="5"/>
      <c r="X641" s="5"/>
    </row>
    <row r="642" spans="1:24">
      <c r="A642" s="5"/>
      <c r="B642" s="5"/>
      <c r="C642" s="5"/>
      <c r="D642" s="5"/>
      <c r="E642" s="5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5"/>
      <c r="V642" s="5"/>
      <c r="W642" s="5"/>
      <c r="X642" s="5"/>
    </row>
    <row r="643" spans="1:24">
      <c r="A643" s="5"/>
      <c r="B643" s="5"/>
      <c r="C643" s="5"/>
      <c r="D643" s="5"/>
      <c r="E643" s="5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5"/>
      <c r="V643" s="5"/>
      <c r="W643" s="5"/>
      <c r="X643" s="5"/>
    </row>
    <row r="644" spans="1:24">
      <c r="A644" s="5"/>
      <c r="B644" s="5"/>
      <c r="C644" s="5"/>
      <c r="D644" s="5"/>
      <c r="E644" s="5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5"/>
      <c r="V644" s="5"/>
      <c r="W644" s="5"/>
      <c r="X644" s="5"/>
    </row>
    <row r="645" spans="1:24">
      <c r="A645" s="5"/>
      <c r="B645" s="5"/>
      <c r="C645" s="5"/>
      <c r="D645" s="5"/>
      <c r="E645" s="5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5"/>
      <c r="V645" s="5"/>
      <c r="W645" s="5"/>
      <c r="X645" s="5"/>
    </row>
    <row r="646" spans="1:24">
      <c r="A646" s="5"/>
      <c r="B646" s="5"/>
      <c r="C646" s="5"/>
      <c r="D646" s="5"/>
      <c r="E646" s="5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5"/>
      <c r="V646" s="5"/>
      <c r="W646" s="5"/>
      <c r="X646" s="5"/>
    </row>
    <row r="647" spans="1:24">
      <c r="A647" s="5"/>
      <c r="B647" s="5"/>
      <c r="C647" s="5"/>
      <c r="D647" s="5"/>
      <c r="E647" s="5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5"/>
      <c r="V647" s="5"/>
      <c r="W647" s="5"/>
      <c r="X647" s="5"/>
    </row>
    <row r="648" spans="1:24">
      <c r="A648" s="5"/>
      <c r="B648" s="5"/>
      <c r="C648" s="5"/>
      <c r="D648" s="5"/>
      <c r="E648" s="5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5"/>
      <c r="V648" s="5"/>
      <c r="W648" s="5"/>
      <c r="X648" s="5"/>
    </row>
    <row r="649" spans="1:24">
      <c r="A649" s="5"/>
      <c r="B649" s="5"/>
      <c r="C649" s="5"/>
      <c r="D649" s="5"/>
      <c r="E649" s="5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5"/>
      <c r="V649" s="5"/>
      <c r="W649" s="5"/>
      <c r="X649" s="5"/>
    </row>
    <row r="650" spans="1:24">
      <c r="A650" s="5"/>
      <c r="B650" s="5"/>
      <c r="C650" s="5"/>
      <c r="D650" s="5"/>
      <c r="E650" s="5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5"/>
      <c r="V650" s="5"/>
      <c r="W650" s="5"/>
      <c r="X650" s="5"/>
    </row>
    <row r="651" spans="1:24">
      <c r="A651" s="5"/>
      <c r="B651" s="5"/>
      <c r="C651" s="5"/>
      <c r="D651" s="5"/>
      <c r="E651" s="5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5"/>
      <c r="V651" s="5"/>
      <c r="W651" s="5"/>
      <c r="X651" s="5"/>
    </row>
    <row r="652" spans="1:24">
      <c r="A652" s="5"/>
      <c r="B652" s="5"/>
      <c r="C652" s="5"/>
      <c r="D652" s="5"/>
      <c r="E652" s="5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5"/>
      <c r="V652" s="5"/>
      <c r="W652" s="5"/>
      <c r="X652" s="5"/>
    </row>
    <row r="653" spans="1:24">
      <c r="A653" s="5"/>
      <c r="B653" s="5"/>
      <c r="C653" s="5"/>
      <c r="D653" s="5"/>
      <c r="E653" s="5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5"/>
      <c r="V653" s="5"/>
      <c r="W653" s="5"/>
      <c r="X653" s="5"/>
    </row>
    <row r="654" spans="1:24">
      <c r="A654" s="5"/>
      <c r="B654" s="5"/>
      <c r="C654" s="5"/>
      <c r="D654" s="5"/>
      <c r="E654" s="5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5"/>
      <c r="V654" s="5"/>
      <c r="W654" s="5"/>
      <c r="X654" s="5"/>
    </row>
    <row r="655" spans="1:24">
      <c r="A655" s="5"/>
      <c r="B655" s="5"/>
      <c r="C655" s="5"/>
      <c r="D655" s="5"/>
      <c r="E655" s="5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5"/>
      <c r="V655" s="5"/>
      <c r="W655" s="5"/>
      <c r="X655" s="5"/>
    </row>
    <row r="656" spans="1:24">
      <c r="A656" s="5"/>
      <c r="B656" s="5"/>
      <c r="C656" s="5"/>
      <c r="D656" s="5"/>
      <c r="E656" s="5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5"/>
      <c r="V656" s="5"/>
      <c r="W656" s="5"/>
      <c r="X656" s="5"/>
    </row>
    <row r="657" spans="1:24">
      <c r="A657" s="5"/>
      <c r="B657" s="5"/>
      <c r="C657" s="5"/>
      <c r="D657" s="5"/>
      <c r="E657" s="5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5"/>
      <c r="V657" s="5"/>
      <c r="W657" s="5"/>
      <c r="X657" s="5"/>
    </row>
    <row r="658" spans="1:24">
      <c r="A658" s="5"/>
      <c r="B658" s="5"/>
      <c r="C658" s="5"/>
      <c r="D658" s="5"/>
      <c r="E658" s="5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5"/>
      <c r="V658" s="5"/>
      <c r="W658" s="5"/>
      <c r="X658" s="5"/>
    </row>
    <row r="659" spans="1:24">
      <c r="A659" s="5"/>
      <c r="B659" s="5"/>
      <c r="C659" s="5"/>
      <c r="D659" s="5"/>
      <c r="E659" s="5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5"/>
      <c r="V659" s="5"/>
      <c r="W659" s="5"/>
      <c r="X659" s="5"/>
    </row>
    <row r="660" spans="1:24">
      <c r="A660" s="5"/>
      <c r="B660" s="5"/>
      <c r="C660" s="5"/>
      <c r="D660" s="5"/>
      <c r="E660" s="5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5"/>
      <c r="V660" s="5"/>
      <c r="W660" s="5"/>
      <c r="X660" s="5"/>
    </row>
    <row r="661" spans="1:24">
      <c r="A661" s="5"/>
      <c r="B661" s="5"/>
      <c r="C661" s="5"/>
      <c r="D661" s="5"/>
      <c r="E661" s="5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5"/>
      <c r="V661" s="5"/>
      <c r="W661" s="5"/>
      <c r="X661" s="5"/>
    </row>
    <row r="662" spans="1:24">
      <c r="A662" s="5"/>
      <c r="B662" s="5"/>
      <c r="C662" s="5"/>
      <c r="D662" s="5"/>
      <c r="E662" s="5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5"/>
      <c r="V662" s="5"/>
      <c r="W662" s="5"/>
      <c r="X662" s="5"/>
    </row>
    <row r="663" spans="1:24">
      <c r="A663" s="5"/>
      <c r="B663" s="5"/>
      <c r="C663" s="5"/>
      <c r="D663" s="5"/>
      <c r="E663" s="5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5"/>
      <c r="V663" s="5"/>
      <c r="W663" s="5"/>
      <c r="X663" s="5"/>
    </row>
    <row r="664" spans="1:24">
      <c r="A664" s="5"/>
      <c r="B664" s="5"/>
      <c r="C664" s="5"/>
      <c r="D664" s="5"/>
      <c r="E664" s="5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5"/>
      <c r="V664" s="5"/>
      <c r="W664" s="5"/>
      <c r="X664" s="5"/>
    </row>
    <row r="665" spans="1:24">
      <c r="A665" s="5"/>
      <c r="B665" s="5"/>
      <c r="C665" s="5"/>
      <c r="D665" s="5"/>
      <c r="E665" s="5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5"/>
      <c r="V665" s="5"/>
      <c r="W665" s="5"/>
      <c r="X665" s="5"/>
    </row>
    <row r="666" spans="1:24">
      <c r="A666" s="5"/>
      <c r="B666" s="5"/>
      <c r="C666" s="5"/>
      <c r="D666" s="5"/>
      <c r="E666" s="5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5"/>
      <c r="V666" s="5"/>
      <c r="W666" s="5"/>
      <c r="X666" s="5"/>
    </row>
    <row r="667" spans="1:24">
      <c r="A667" s="5"/>
      <c r="B667" s="5"/>
      <c r="C667" s="5"/>
      <c r="D667" s="5"/>
      <c r="E667" s="5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5"/>
      <c r="V667" s="5"/>
      <c r="W667" s="5"/>
      <c r="X667" s="5"/>
    </row>
    <row r="668" spans="1:24">
      <c r="A668" s="5"/>
      <c r="B668" s="5"/>
      <c r="C668" s="5"/>
      <c r="D668" s="5"/>
      <c r="E668" s="5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5"/>
      <c r="V668" s="5"/>
      <c r="W668" s="5"/>
      <c r="X668" s="5"/>
    </row>
    <row r="669" spans="1:24">
      <c r="A669" s="5"/>
      <c r="B669" s="5"/>
      <c r="C669" s="5"/>
      <c r="D669" s="5"/>
      <c r="E669" s="5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5"/>
      <c r="V669" s="5"/>
      <c r="W669" s="5"/>
      <c r="X669" s="5"/>
    </row>
    <row r="670" spans="1:24">
      <c r="A670" s="5"/>
      <c r="B670" s="5"/>
      <c r="C670" s="5"/>
      <c r="D670" s="5"/>
      <c r="E670" s="5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5"/>
      <c r="V670" s="5"/>
      <c r="W670" s="5"/>
      <c r="X670" s="5"/>
    </row>
    <row r="671" spans="1:24">
      <c r="A671" s="5"/>
      <c r="B671" s="5"/>
      <c r="C671" s="5"/>
      <c r="D671" s="5"/>
      <c r="E671" s="5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5"/>
      <c r="V671" s="5"/>
      <c r="W671" s="5"/>
      <c r="X671" s="5"/>
    </row>
    <row r="672" spans="1:24">
      <c r="A672" s="5"/>
      <c r="B672" s="5"/>
      <c r="C672" s="5"/>
      <c r="D672" s="5"/>
      <c r="E672" s="5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5"/>
      <c r="V672" s="5"/>
      <c r="W672" s="5"/>
      <c r="X672" s="5"/>
    </row>
    <row r="673" spans="1:24">
      <c r="A673" s="5"/>
      <c r="B673" s="5"/>
      <c r="C673" s="5"/>
      <c r="D673" s="5"/>
      <c r="E673" s="5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5"/>
      <c r="V673" s="5"/>
      <c r="W673" s="5"/>
      <c r="X673" s="5"/>
    </row>
    <row r="674" spans="1:24">
      <c r="A674" s="5"/>
      <c r="B674" s="5"/>
      <c r="C674" s="5"/>
      <c r="D674" s="5"/>
      <c r="E674" s="5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5"/>
      <c r="V674" s="5"/>
      <c r="W674" s="5"/>
      <c r="X674" s="5"/>
    </row>
    <row r="675" spans="1:24">
      <c r="A675" s="5"/>
      <c r="B675" s="5"/>
      <c r="C675" s="5"/>
      <c r="D675" s="5"/>
      <c r="E675" s="5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5"/>
      <c r="V675" s="5"/>
      <c r="W675" s="5"/>
      <c r="X675" s="5"/>
    </row>
    <row r="676" spans="1:24">
      <c r="A676" s="5"/>
      <c r="B676" s="5"/>
      <c r="C676" s="5"/>
      <c r="D676" s="5"/>
      <c r="E676" s="5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5"/>
      <c r="V676" s="5"/>
      <c r="W676" s="5"/>
      <c r="X676" s="5"/>
    </row>
    <row r="677" spans="1:24">
      <c r="A677" s="5"/>
      <c r="B677" s="5"/>
      <c r="C677" s="5"/>
      <c r="D677" s="5"/>
      <c r="E677" s="5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5"/>
      <c r="V677" s="5"/>
      <c r="W677" s="5"/>
      <c r="X677" s="5"/>
    </row>
    <row r="678" spans="1:24">
      <c r="A678" s="5"/>
      <c r="B678" s="5"/>
      <c r="C678" s="5"/>
      <c r="D678" s="5"/>
      <c r="E678" s="5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5"/>
      <c r="V678" s="5"/>
      <c r="W678" s="5"/>
      <c r="X678" s="5"/>
    </row>
    <row r="679" spans="1:24">
      <c r="A679" s="5"/>
      <c r="B679" s="5"/>
      <c r="C679" s="5"/>
      <c r="D679" s="5"/>
      <c r="E679" s="5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5"/>
      <c r="V679" s="5"/>
      <c r="W679" s="5"/>
      <c r="X679" s="5"/>
    </row>
    <row r="680" spans="1:24">
      <c r="A680" s="5"/>
      <c r="B680" s="5"/>
      <c r="C680" s="5"/>
      <c r="D680" s="5"/>
      <c r="E680" s="5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5"/>
      <c r="V680" s="5"/>
      <c r="W680" s="5"/>
      <c r="X680" s="5"/>
    </row>
    <row r="681" spans="1:24">
      <c r="A681" s="5"/>
      <c r="B681" s="5"/>
      <c r="C681" s="5"/>
      <c r="D681" s="5"/>
      <c r="E681" s="5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5"/>
      <c r="V681" s="5"/>
      <c r="W681" s="5"/>
      <c r="X681" s="5"/>
    </row>
    <row r="682" spans="1:24">
      <c r="A682" s="5"/>
      <c r="B682" s="5"/>
      <c r="C682" s="5"/>
      <c r="D682" s="5"/>
      <c r="E682" s="5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5"/>
      <c r="V682" s="5"/>
      <c r="W682" s="5"/>
      <c r="X682" s="5"/>
    </row>
    <row r="683" spans="1:24">
      <c r="A683" s="5"/>
      <c r="B683" s="5"/>
      <c r="C683" s="5"/>
      <c r="D683" s="5"/>
      <c r="E683" s="5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5"/>
      <c r="V683" s="5"/>
      <c r="W683" s="5"/>
      <c r="X683" s="5"/>
    </row>
    <row r="684" spans="1:24">
      <c r="A684" s="5"/>
      <c r="B684" s="5"/>
      <c r="C684" s="5"/>
      <c r="D684" s="5"/>
      <c r="E684" s="5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5"/>
      <c r="V684" s="5"/>
      <c r="W684" s="5"/>
      <c r="X684" s="5"/>
    </row>
    <row r="685" spans="1:24">
      <c r="A685" s="5"/>
      <c r="B685" s="5"/>
      <c r="C685" s="5"/>
      <c r="D685" s="5"/>
      <c r="E685" s="5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5"/>
      <c r="V685" s="5"/>
      <c r="W685" s="5"/>
      <c r="X685" s="5"/>
    </row>
    <row r="686" spans="1:24">
      <c r="A686" s="5"/>
      <c r="B686" s="5"/>
      <c r="C686" s="5"/>
      <c r="D686" s="5"/>
      <c r="E686" s="5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5"/>
      <c r="V686" s="5"/>
      <c r="W686" s="5"/>
      <c r="X686" s="5"/>
    </row>
    <row r="687" spans="1:24">
      <c r="A687" s="5"/>
      <c r="B687" s="5"/>
      <c r="C687" s="5"/>
      <c r="D687" s="5"/>
      <c r="E687" s="5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5"/>
      <c r="V687" s="5"/>
      <c r="W687" s="5"/>
      <c r="X687" s="5"/>
    </row>
    <row r="688" spans="1:24">
      <c r="A688" s="5"/>
      <c r="B688" s="5"/>
      <c r="C688" s="5"/>
      <c r="D688" s="5"/>
      <c r="E688" s="5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5"/>
      <c r="V688" s="5"/>
      <c r="W688" s="5"/>
      <c r="X688" s="5"/>
    </row>
    <row r="689" spans="1:24">
      <c r="A689" s="5"/>
      <c r="B689" s="5"/>
      <c r="C689" s="5"/>
      <c r="D689" s="5"/>
      <c r="E689" s="5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5"/>
      <c r="V689" s="5"/>
      <c r="W689" s="5"/>
      <c r="X689" s="5"/>
    </row>
    <row r="690" spans="1:24">
      <c r="A690" s="5"/>
      <c r="B690" s="5"/>
      <c r="C690" s="5"/>
      <c r="D690" s="5"/>
      <c r="E690" s="5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5"/>
      <c r="V690" s="5"/>
      <c r="W690" s="5"/>
      <c r="X690" s="5"/>
    </row>
    <row r="691" spans="1:24">
      <c r="A691" s="5"/>
      <c r="B691" s="5"/>
      <c r="C691" s="5"/>
      <c r="D691" s="5"/>
      <c r="E691" s="5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5"/>
      <c r="V691" s="5"/>
      <c r="W691" s="5"/>
      <c r="X691" s="5"/>
    </row>
    <row r="692" spans="1:24">
      <c r="A692" s="5"/>
      <c r="B692" s="5"/>
      <c r="C692" s="5"/>
      <c r="D692" s="5"/>
      <c r="E692" s="5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5"/>
      <c r="V692" s="5"/>
      <c r="W692" s="5"/>
      <c r="X692" s="5"/>
    </row>
    <row r="693" spans="1:24">
      <c r="A693" s="5"/>
      <c r="B693" s="5"/>
      <c r="C693" s="5"/>
      <c r="D693" s="5"/>
      <c r="E693" s="5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5"/>
      <c r="V693" s="5"/>
      <c r="W693" s="5"/>
      <c r="X693" s="5"/>
    </row>
    <row r="694" spans="1:24">
      <c r="A694" s="5"/>
      <c r="B694" s="5"/>
      <c r="C694" s="5"/>
      <c r="D694" s="5"/>
      <c r="E694" s="5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5"/>
      <c r="V694" s="5"/>
      <c r="W694" s="5"/>
      <c r="X694" s="5"/>
    </row>
    <row r="695" spans="1:24">
      <c r="A695" s="5"/>
      <c r="B695" s="5"/>
      <c r="C695" s="5"/>
      <c r="D695" s="5"/>
      <c r="E695" s="5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5"/>
      <c r="V695" s="5"/>
      <c r="W695" s="5"/>
      <c r="X695" s="5"/>
    </row>
    <row r="696" spans="1:24">
      <c r="A696" s="5"/>
      <c r="B696" s="5"/>
      <c r="C696" s="5"/>
      <c r="D696" s="5"/>
      <c r="E696" s="5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5"/>
      <c r="V696" s="5"/>
      <c r="W696" s="5"/>
      <c r="X696" s="5"/>
    </row>
    <row r="697" spans="1:24">
      <c r="A697" s="5"/>
      <c r="B697" s="5"/>
      <c r="C697" s="5"/>
      <c r="D697" s="5"/>
      <c r="E697" s="5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5"/>
      <c r="V697" s="5"/>
      <c r="W697" s="5"/>
      <c r="X697" s="5"/>
    </row>
    <row r="698" spans="1:24">
      <c r="A698" s="5"/>
      <c r="B698" s="5"/>
      <c r="C698" s="5"/>
      <c r="D698" s="5"/>
      <c r="E698" s="5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5"/>
      <c r="V698" s="5"/>
      <c r="W698" s="5"/>
      <c r="X698" s="5"/>
    </row>
    <row r="699" spans="1:24">
      <c r="A699" s="5"/>
      <c r="B699" s="5"/>
      <c r="C699" s="5"/>
      <c r="D699" s="5"/>
      <c r="E699" s="5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5"/>
      <c r="V699" s="5"/>
      <c r="W699" s="5"/>
      <c r="X699" s="5"/>
    </row>
    <row r="700" spans="1:24">
      <c r="A700" s="5"/>
      <c r="B700" s="5"/>
      <c r="C700" s="5"/>
      <c r="D700" s="5"/>
      <c r="E700" s="5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5"/>
      <c r="V700" s="5"/>
      <c r="W700" s="5"/>
      <c r="X700" s="5"/>
    </row>
    <row r="701" spans="1:24">
      <c r="A701" s="5"/>
      <c r="B701" s="5"/>
      <c r="C701" s="5"/>
      <c r="D701" s="5"/>
      <c r="E701" s="5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5"/>
      <c r="V701" s="5"/>
      <c r="W701" s="5"/>
      <c r="X701" s="5"/>
    </row>
    <row r="702" spans="1:24">
      <c r="A702" s="5"/>
      <c r="B702" s="5"/>
      <c r="C702" s="5"/>
      <c r="D702" s="5"/>
      <c r="E702" s="5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5"/>
      <c r="V702" s="5"/>
      <c r="W702" s="5"/>
      <c r="X702" s="5"/>
    </row>
    <row r="703" spans="1:24">
      <c r="A703" s="5"/>
      <c r="B703" s="5"/>
      <c r="C703" s="5"/>
      <c r="D703" s="5"/>
      <c r="E703" s="5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5"/>
      <c r="V703" s="5"/>
      <c r="W703" s="5"/>
      <c r="X703" s="5"/>
    </row>
    <row r="704" spans="1:24">
      <c r="A704" s="5"/>
      <c r="B704" s="5"/>
      <c r="C704" s="5"/>
      <c r="D704" s="5"/>
      <c r="E704" s="5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5"/>
      <c r="V704" s="5"/>
      <c r="W704" s="5"/>
      <c r="X704" s="5"/>
    </row>
    <row r="705" spans="1:24">
      <c r="A705" s="5"/>
      <c r="B705" s="5"/>
      <c r="C705" s="5"/>
      <c r="D705" s="5"/>
      <c r="E705" s="5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5"/>
      <c r="V705" s="5"/>
      <c r="W705" s="5"/>
      <c r="X705" s="5"/>
    </row>
    <row r="706" spans="1:24">
      <c r="A706" s="5"/>
      <c r="B706" s="5"/>
      <c r="C706" s="5"/>
      <c r="D706" s="5"/>
      <c r="E706" s="5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5"/>
      <c r="V706" s="5"/>
      <c r="W706" s="5"/>
      <c r="X706" s="5"/>
    </row>
    <row r="707" spans="1:24">
      <c r="A707" s="5"/>
      <c r="B707" s="5"/>
      <c r="C707" s="5"/>
      <c r="D707" s="5"/>
      <c r="E707" s="5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5"/>
      <c r="V707" s="5"/>
      <c r="W707" s="5"/>
      <c r="X707" s="5"/>
    </row>
    <row r="708" spans="1:24">
      <c r="A708" s="5"/>
      <c r="B708" s="5"/>
      <c r="C708" s="5"/>
      <c r="D708" s="5"/>
      <c r="E708" s="5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5"/>
      <c r="V708" s="5"/>
      <c r="W708" s="5"/>
      <c r="X708" s="5"/>
    </row>
    <row r="709" spans="1:24">
      <c r="A709" s="5"/>
      <c r="B709" s="5"/>
      <c r="C709" s="5"/>
      <c r="D709" s="5"/>
      <c r="E709" s="5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5"/>
      <c r="V709" s="5"/>
      <c r="W709" s="5"/>
      <c r="X709" s="5"/>
    </row>
    <row r="710" spans="1:24">
      <c r="A710" s="5"/>
      <c r="B710" s="5"/>
      <c r="C710" s="5"/>
      <c r="D710" s="5"/>
      <c r="E710" s="5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5"/>
      <c r="V710" s="5"/>
      <c r="W710" s="5"/>
      <c r="X710" s="5"/>
    </row>
    <row r="711" spans="1:24">
      <c r="A711" s="5"/>
      <c r="B711" s="5"/>
      <c r="C711" s="5"/>
      <c r="D711" s="5"/>
      <c r="E711" s="5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5"/>
      <c r="V711" s="5"/>
      <c r="W711" s="5"/>
      <c r="X711" s="5"/>
    </row>
    <row r="712" spans="1:24">
      <c r="A712" s="5"/>
      <c r="B712" s="5"/>
      <c r="C712" s="5"/>
      <c r="D712" s="5"/>
      <c r="E712" s="5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5"/>
      <c r="V712" s="5"/>
      <c r="W712" s="5"/>
      <c r="X712" s="5"/>
    </row>
    <row r="713" spans="1:24">
      <c r="A713" s="5"/>
      <c r="B713" s="5"/>
      <c r="C713" s="5"/>
      <c r="D713" s="5"/>
      <c r="E713" s="5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5"/>
      <c r="V713" s="5"/>
      <c r="W713" s="5"/>
      <c r="X713" s="5"/>
    </row>
    <row r="714" spans="1:24">
      <c r="A714" s="5"/>
      <c r="B714" s="5"/>
      <c r="C714" s="5"/>
      <c r="D714" s="5"/>
      <c r="E714" s="5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5"/>
      <c r="V714" s="5"/>
      <c r="W714" s="5"/>
      <c r="X714" s="5"/>
    </row>
    <row r="715" spans="1:24">
      <c r="A715" s="5"/>
      <c r="B715" s="5"/>
      <c r="C715" s="5"/>
      <c r="D715" s="5"/>
      <c r="E715" s="5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5"/>
      <c r="V715" s="5"/>
      <c r="W715" s="5"/>
      <c r="X715" s="5"/>
    </row>
    <row r="716" spans="1:24">
      <c r="A716" s="5"/>
      <c r="B716" s="5"/>
      <c r="C716" s="5"/>
      <c r="D716" s="5"/>
      <c r="E716" s="5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5"/>
      <c r="V716" s="5"/>
      <c r="W716" s="5"/>
      <c r="X716" s="5"/>
    </row>
    <row r="717" spans="1:24">
      <c r="A717" s="5"/>
      <c r="B717" s="5"/>
      <c r="C717" s="5"/>
      <c r="D717" s="5"/>
      <c r="E717" s="5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5"/>
      <c r="V717" s="5"/>
      <c r="W717" s="5"/>
      <c r="X717" s="5"/>
    </row>
    <row r="718" spans="1:24">
      <c r="A718" s="5"/>
      <c r="B718" s="5"/>
      <c r="C718" s="5"/>
      <c r="D718" s="5"/>
      <c r="E718" s="5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5"/>
      <c r="V718" s="5"/>
      <c r="W718" s="5"/>
      <c r="X718" s="5"/>
    </row>
    <row r="719" spans="1:24">
      <c r="A719" s="5"/>
      <c r="B719" s="5"/>
      <c r="C719" s="5"/>
      <c r="D719" s="5"/>
      <c r="E719" s="5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5"/>
      <c r="V719" s="5"/>
      <c r="W719" s="5"/>
      <c r="X719" s="5"/>
    </row>
    <row r="720" spans="1:24">
      <c r="A720" s="5"/>
      <c r="B720" s="5"/>
      <c r="C720" s="5"/>
      <c r="D720" s="5"/>
      <c r="E720" s="5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5"/>
      <c r="V720" s="5"/>
      <c r="W720" s="5"/>
      <c r="X720" s="5"/>
    </row>
    <row r="721" spans="1:24">
      <c r="A721" s="5"/>
      <c r="B721" s="5"/>
      <c r="C721" s="5"/>
      <c r="D721" s="5"/>
      <c r="E721" s="5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5"/>
      <c r="V721" s="5"/>
      <c r="W721" s="5"/>
      <c r="X721" s="5"/>
    </row>
    <row r="722" spans="1:24">
      <c r="A722" s="5"/>
      <c r="B722" s="5"/>
      <c r="C722" s="5"/>
      <c r="D722" s="5"/>
      <c r="E722" s="5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5"/>
      <c r="V722" s="5"/>
      <c r="W722" s="5"/>
      <c r="X722" s="5"/>
    </row>
    <row r="723" spans="1:24">
      <c r="A723" s="5"/>
      <c r="B723" s="5"/>
      <c r="C723" s="5"/>
      <c r="D723" s="5"/>
      <c r="E723" s="5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5"/>
      <c r="V723" s="5"/>
      <c r="W723" s="5"/>
      <c r="X723" s="5"/>
    </row>
    <row r="724" spans="1:24">
      <c r="A724" s="5"/>
      <c r="B724" s="5"/>
      <c r="C724" s="5"/>
      <c r="D724" s="5"/>
      <c r="E724" s="5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5"/>
      <c r="V724" s="5"/>
      <c r="W724" s="5"/>
      <c r="X724" s="5"/>
    </row>
    <row r="725" spans="1:24">
      <c r="A725" s="5"/>
      <c r="B725" s="5"/>
      <c r="C725" s="5"/>
      <c r="D725" s="5"/>
      <c r="E725" s="5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5"/>
      <c r="V725" s="5"/>
      <c r="W725" s="5"/>
      <c r="X725" s="5"/>
    </row>
    <row r="726" spans="1:24">
      <c r="A726" s="5"/>
      <c r="B726" s="5"/>
      <c r="C726" s="5"/>
      <c r="D726" s="5"/>
      <c r="E726" s="5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5"/>
      <c r="V726" s="5"/>
      <c r="W726" s="5"/>
      <c r="X726" s="5"/>
    </row>
    <row r="727" spans="1:24">
      <c r="A727" s="5"/>
      <c r="B727" s="5"/>
      <c r="C727" s="5"/>
      <c r="D727" s="5"/>
      <c r="E727" s="5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5"/>
      <c r="V727" s="5"/>
      <c r="W727" s="5"/>
      <c r="X727" s="5"/>
    </row>
    <row r="728" spans="1:24">
      <c r="A728" s="5"/>
      <c r="B728" s="5"/>
      <c r="C728" s="5"/>
      <c r="D728" s="5"/>
      <c r="E728" s="5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5"/>
      <c r="V728" s="5"/>
      <c r="W728" s="5"/>
      <c r="X728" s="5"/>
    </row>
    <row r="729" spans="1:24">
      <c r="A729" s="5"/>
      <c r="B729" s="5"/>
      <c r="C729" s="5"/>
      <c r="D729" s="5"/>
      <c r="E729" s="5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5"/>
      <c r="V729" s="5"/>
      <c r="W729" s="5"/>
      <c r="X729" s="5"/>
    </row>
    <row r="730" spans="1:24">
      <c r="A730" s="5"/>
      <c r="B730" s="5"/>
      <c r="C730" s="5"/>
      <c r="D730" s="5"/>
      <c r="E730" s="5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5"/>
      <c r="V730" s="5"/>
      <c r="W730" s="5"/>
      <c r="X730" s="5"/>
    </row>
    <row r="731" spans="1:24">
      <c r="A731" s="5"/>
      <c r="B731" s="5"/>
      <c r="C731" s="5"/>
      <c r="D731" s="5"/>
      <c r="E731" s="5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5"/>
      <c r="V731" s="5"/>
      <c r="W731" s="5"/>
      <c r="X731" s="5"/>
    </row>
    <row r="732" spans="1:24">
      <c r="A732" s="5"/>
      <c r="B732" s="5"/>
      <c r="C732" s="5"/>
      <c r="D732" s="5"/>
      <c r="E732" s="5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5"/>
      <c r="V732" s="5"/>
      <c r="W732" s="5"/>
      <c r="X732" s="5"/>
    </row>
    <row r="733" spans="1:24">
      <c r="A733" s="5"/>
      <c r="B733" s="5"/>
      <c r="C733" s="5"/>
      <c r="D733" s="5"/>
      <c r="E733" s="5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5"/>
      <c r="V733" s="5"/>
      <c r="W733" s="5"/>
      <c r="X733" s="5"/>
    </row>
    <row r="734" spans="1:24">
      <c r="A734" s="5"/>
      <c r="B734" s="5"/>
      <c r="C734" s="5"/>
      <c r="D734" s="5"/>
      <c r="E734" s="5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5"/>
      <c r="V734" s="5"/>
      <c r="W734" s="5"/>
      <c r="X734" s="5"/>
    </row>
    <row r="735" spans="1:24">
      <c r="A735" s="5"/>
      <c r="B735" s="5"/>
      <c r="C735" s="5"/>
      <c r="D735" s="5"/>
      <c r="E735" s="5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5"/>
      <c r="V735" s="5"/>
      <c r="W735" s="5"/>
      <c r="X735" s="5"/>
    </row>
    <row r="736" spans="1:24">
      <c r="A736" s="5"/>
      <c r="B736" s="5"/>
      <c r="C736" s="5"/>
      <c r="D736" s="5"/>
      <c r="E736" s="5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5"/>
      <c r="V736" s="5"/>
      <c r="W736" s="5"/>
      <c r="X736" s="5"/>
    </row>
    <row r="737" spans="1:24">
      <c r="A737" s="5"/>
      <c r="B737" s="5"/>
      <c r="C737" s="5"/>
      <c r="D737" s="5"/>
      <c r="E737" s="5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5"/>
      <c r="V737" s="5"/>
      <c r="W737" s="5"/>
      <c r="X737" s="5"/>
    </row>
    <row r="738" spans="1:24">
      <c r="A738" s="5"/>
      <c r="B738" s="5"/>
      <c r="C738" s="5"/>
      <c r="D738" s="5"/>
      <c r="E738" s="5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5"/>
      <c r="V738" s="5"/>
      <c r="W738" s="5"/>
      <c r="X738" s="5"/>
    </row>
    <row r="739" spans="1:24">
      <c r="A739" s="5"/>
      <c r="B739" s="5"/>
      <c r="C739" s="5"/>
      <c r="D739" s="5"/>
      <c r="E739" s="5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5"/>
      <c r="V739" s="5"/>
      <c r="W739" s="5"/>
      <c r="X739" s="5"/>
    </row>
    <row r="740" spans="1:24">
      <c r="A740" s="5"/>
      <c r="B740" s="5"/>
      <c r="C740" s="5"/>
      <c r="D740" s="5"/>
      <c r="E740" s="5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5"/>
      <c r="V740" s="5"/>
      <c r="W740" s="5"/>
      <c r="X740" s="5"/>
    </row>
    <row r="741" spans="1:24">
      <c r="A741" s="5"/>
      <c r="B741" s="5"/>
      <c r="C741" s="5"/>
      <c r="D741" s="5"/>
      <c r="E741" s="5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5"/>
      <c r="V741" s="5"/>
      <c r="W741" s="5"/>
      <c r="X741" s="5"/>
    </row>
    <row r="742" spans="1:24">
      <c r="A742" s="5"/>
      <c r="B742" s="5"/>
      <c r="C742" s="5"/>
      <c r="D742" s="5"/>
      <c r="E742" s="5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5"/>
      <c r="V742" s="5"/>
      <c r="W742" s="5"/>
      <c r="X742" s="5"/>
    </row>
    <row r="743" spans="1:24">
      <c r="A743" s="5"/>
      <c r="B743" s="5"/>
      <c r="C743" s="5"/>
      <c r="D743" s="5"/>
      <c r="E743" s="5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5"/>
      <c r="V743" s="5"/>
      <c r="W743" s="5"/>
      <c r="X743" s="5"/>
    </row>
    <row r="744" spans="1:24">
      <c r="A744" s="5"/>
      <c r="B744" s="5"/>
      <c r="C744" s="5"/>
      <c r="D744" s="5"/>
      <c r="E744" s="5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5"/>
      <c r="V744" s="5"/>
      <c r="W744" s="5"/>
      <c r="X744" s="5"/>
    </row>
    <row r="745" spans="1:24">
      <c r="A745" s="5"/>
      <c r="B745" s="5"/>
      <c r="C745" s="5"/>
      <c r="D745" s="5"/>
      <c r="E745" s="5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5"/>
      <c r="V745" s="5"/>
      <c r="W745" s="5"/>
      <c r="X745" s="5"/>
    </row>
    <row r="746" spans="1:24">
      <c r="A746" s="5"/>
      <c r="B746" s="5"/>
      <c r="C746" s="5"/>
      <c r="D746" s="5"/>
      <c r="E746" s="5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5"/>
      <c r="V746" s="5"/>
      <c r="W746" s="5"/>
      <c r="X746" s="5"/>
    </row>
    <row r="747" spans="1:24">
      <c r="A747" s="5"/>
      <c r="B747" s="5"/>
      <c r="C747" s="5"/>
      <c r="D747" s="5"/>
      <c r="E747" s="5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5"/>
      <c r="V747" s="5"/>
      <c r="W747" s="5"/>
      <c r="X747" s="5"/>
    </row>
    <row r="748" spans="1:24">
      <c r="A748" s="5"/>
      <c r="B748" s="5"/>
      <c r="C748" s="5"/>
      <c r="D748" s="5"/>
      <c r="E748" s="5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5"/>
      <c r="V748" s="5"/>
      <c r="W748" s="5"/>
      <c r="X748" s="5"/>
    </row>
    <row r="749" spans="1:24">
      <c r="A749" s="5"/>
      <c r="B749" s="5"/>
      <c r="C749" s="5"/>
      <c r="D749" s="5"/>
      <c r="E749" s="5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5"/>
      <c r="V749" s="5"/>
      <c r="W749" s="5"/>
      <c r="X749" s="5"/>
    </row>
    <row r="750" spans="1:24">
      <c r="A750" s="5"/>
      <c r="B750" s="5"/>
      <c r="C750" s="5"/>
      <c r="D750" s="5"/>
      <c r="E750" s="5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5"/>
      <c r="V750" s="5"/>
      <c r="W750" s="5"/>
      <c r="X750" s="5"/>
    </row>
    <row r="751" spans="1:24">
      <c r="A751" s="5"/>
      <c r="B751" s="5"/>
      <c r="C751" s="5"/>
      <c r="D751" s="5"/>
      <c r="E751" s="5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5"/>
      <c r="V751" s="5"/>
      <c r="W751" s="5"/>
      <c r="X751" s="5"/>
    </row>
    <row r="752" spans="1:24">
      <c r="A752" s="5"/>
      <c r="B752" s="5"/>
      <c r="C752" s="5"/>
      <c r="D752" s="5"/>
      <c r="E752" s="5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5"/>
      <c r="V752" s="5"/>
      <c r="W752" s="5"/>
      <c r="X752" s="5"/>
    </row>
    <row r="753" spans="1:24">
      <c r="A753" s="5"/>
      <c r="B753" s="5"/>
      <c r="C753" s="5"/>
      <c r="D753" s="5"/>
      <c r="E753" s="5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5"/>
      <c r="V753" s="5"/>
      <c r="W753" s="5"/>
      <c r="X753" s="5"/>
    </row>
    <row r="754" spans="1:24">
      <c r="A754" s="5"/>
      <c r="B754" s="5"/>
      <c r="C754" s="5"/>
      <c r="D754" s="5"/>
      <c r="E754" s="5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5"/>
      <c r="V754" s="5"/>
      <c r="W754" s="5"/>
      <c r="X754" s="5"/>
    </row>
    <row r="755" spans="1:24">
      <c r="A755" s="5"/>
      <c r="B755" s="5"/>
      <c r="C755" s="5"/>
      <c r="D755" s="5"/>
      <c r="E755" s="5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5"/>
      <c r="V755" s="5"/>
      <c r="W755" s="5"/>
      <c r="X755" s="5"/>
    </row>
    <row r="756" spans="1:24">
      <c r="A756" s="5"/>
      <c r="B756" s="5"/>
      <c r="C756" s="5"/>
      <c r="D756" s="5"/>
      <c r="E756" s="5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5"/>
      <c r="V756" s="5"/>
      <c r="W756" s="5"/>
      <c r="X756" s="5"/>
    </row>
    <row r="757" spans="1:24">
      <c r="A757" s="5"/>
      <c r="B757" s="5"/>
      <c r="C757" s="5"/>
      <c r="D757" s="5"/>
      <c r="E757" s="5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5"/>
      <c r="V757" s="5"/>
      <c r="W757" s="5"/>
      <c r="X757" s="5"/>
    </row>
    <row r="758" spans="1:24">
      <c r="A758" s="5"/>
      <c r="B758" s="5"/>
      <c r="C758" s="5"/>
      <c r="D758" s="5"/>
      <c r="E758" s="5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5"/>
      <c r="V758" s="5"/>
      <c r="W758" s="5"/>
      <c r="X758" s="5"/>
    </row>
    <row r="759" spans="1:24">
      <c r="A759" s="5"/>
      <c r="B759" s="5"/>
      <c r="C759" s="5"/>
      <c r="D759" s="5"/>
      <c r="E759" s="5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5"/>
      <c r="V759" s="5"/>
      <c r="W759" s="5"/>
      <c r="X759" s="5"/>
    </row>
    <row r="760" spans="1:24">
      <c r="A760" s="5"/>
      <c r="B760" s="5"/>
      <c r="C760" s="5"/>
      <c r="D760" s="5"/>
      <c r="E760" s="5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5"/>
      <c r="V760" s="5"/>
      <c r="W760" s="5"/>
      <c r="X760" s="5"/>
    </row>
    <row r="761" spans="1:24">
      <c r="A761" s="5"/>
      <c r="B761" s="5"/>
      <c r="C761" s="5"/>
      <c r="D761" s="5"/>
      <c r="E761" s="5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5"/>
      <c r="V761" s="5"/>
      <c r="W761" s="5"/>
      <c r="X761" s="5"/>
    </row>
    <row r="762" spans="1:24">
      <c r="A762" s="5"/>
      <c r="B762" s="5"/>
      <c r="C762" s="5"/>
      <c r="D762" s="5"/>
      <c r="E762" s="5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5"/>
      <c r="V762" s="5"/>
      <c r="W762" s="5"/>
      <c r="X762" s="5"/>
    </row>
    <row r="763" spans="1:24">
      <c r="A763" s="5"/>
      <c r="B763" s="5"/>
      <c r="C763" s="5"/>
      <c r="D763" s="5"/>
      <c r="E763" s="5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5"/>
      <c r="V763" s="5"/>
      <c r="W763" s="5"/>
      <c r="X763" s="5"/>
    </row>
    <row r="764" spans="1:24">
      <c r="A764" s="5"/>
      <c r="B764" s="5"/>
      <c r="C764" s="5"/>
      <c r="D764" s="5"/>
      <c r="E764" s="5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5"/>
      <c r="V764" s="5"/>
      <c r="W764" s="5"/>
      <c r="X764" s="5"/>
    </row>
    <row r="765" spans="1:24">
      <c r="A765" s="5"/>
      <c r="B765" s="5"/>
      <c r="C765" s="5"/>
      <c r="D765" s="5"/>
      <c r="E765" s="5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5"/>
      <c r="V765" s="5"/>
      <c r="W765" s="5"/>
      <c r="X765" s="5"/>
    </row>
    <row r="766" spans="1:24">
      <c r="A766" s="5"/>
      <c r="B766" s="5"/>
      <c r="C766" s="5"/>
      <c r="D766" s="5"/>
      <c r="E766" s="5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5"/>
      <c r="V766" s="5"/>
      <c r="W766" s="5"/>
      <c r="X766" s="5"/>
    </row>
    <row r="767" spans="1:24">
      <c r="A767" s="5"/>
      <c r="B767" s="5"/>
      <c r="C767" s="5"/>
      <c r="D767" s="5"/>
      <c r="E767" s="5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5"/>
      <c r="V767" s="5"/>
      <c r="W767" s="5"/>
      <c r="X767" s="5"/>
    </row>
    <row r="768" spans="1:24">
      <c r="A768" s="5"/>
      <c r="B768" s="5"/>
      <c r="C768" s="5"/>
      <c r="D768" s="5"/>
      <c r="E768" s="5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5"/>
      <c r="V768" s="5"/>
      <c r="W768" s="5"/>
      <c r="X768" s="5"/>
    </row>
    <row r="769" spans="1:24">
      <c r="A769" s="5"/>
      <c r="B769" s="5"/>
      <c r="C769" s="5"/>
      <c r="D769" s="5"/>
      <c r="E769" s="5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5"/>
      <c r="V769" s="5"/>
      <c r="W769" s="5"/>
      <c r="X769" s="5"/>
    </row>
    <row r="770" spans="1:24">
      <c r="A770" s="5"/>
      <c r="B770" s="5"/>
      <c r="C770" s="5"/>
      <c r="D770" s="5"/>
      <c r="E770" s="5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5"/>
      <c r="V770" s="5"/>
      <c r="W770" s="5"/>
      <c r="X770" s="5"/>
    </row>
    <row r="771" spans="1:24">
      <c r="A771" s="5"/>
      <c r="B771" s="5"/>
      <c r="C771" s="5"/>
      <c r="D771" s="5"/>
      <c r="E771" s="5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5"/>
      <c r="V771" s="5"/>
      <c r="W771" s="5"/>
      <c r="X771" s="5"/>
    </row>
    <row r="772" spans="1:24">
      <c r="A772" s="5"/>
      <c r="B772" s="5"/>
      <c r="C772" s="5"/>
      <c r="D772" s="5"/>
      <c r="E772" s="5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5"/>
      <c r="V772" s="5"/>
      <c r="W772" s="5"/>
      <c r="X772" s="5"/>
    </row>
    <row r="773" spans="1:24">
      <c r="A773" s="5"/>
      <c r="B773" s="5"/>
      <c r="C773" s="5"/>
      <c r="D773" s="5"/>
      <c r="E773" s="5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5"/>
      <c r="V773" s="5"/>
      <c r="W773" s="5"/>
      <c r="X773" s="5"/>
    </row>
    <row r="774" spans="1:24">
      <c r="A774" s="5"/>
      <c r="B774" s="5"/>
      <c r="C774" s="5"/>
      <c r="D774" s="5"/>
      <c r="E774" s="5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5"/>
      <c r="V774" s="5"/>
      <c r="W774" s="5"/>
      <c r="X774" s="5"/>
    </row>
    <row r="775" spans="1:24">
      <c r="A775" s="5"/>
      <c r="B775" s="5"/>
      <c r="C775" s="5"/>
      <c r="D775" s="5"/>
      <c r="E775" s="5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5"/>
      <c r="V775" s="5"/>
      <c r="W775" s="5"/>
      <c r="X775" s="5"/>
    </row>
    <row r="776" spans="1:24">
      <c r="A776" s="5"/>
      <c r="B776" s="5"/>
      <c r="C776" s="5"/>
      <c r="D776" s="5"/>
      <c r="E776" s="5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5"/>
      <c r="V776" s="5"/>
      <c r="W776" s="5"/>
      <c r="X776" s="5"/>
    </row>
    <row r="777" spans="1:24">
      <c r="A777" s="5"/>
      <c r="B777" s="5"/>
      <c r="C777" s="5"/>
      <c r="D777" s="5"/>
      <c r="E777" s="5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5"/>
      <c r="V777" s="5"/>
      <c r="W777" s="5"/>
      <c r="X777" s="5"/>
    </row>
    <row r="778" spans="1:24">
      <c r="A778" s="5"/>
      <c r="B778" s="5"/>
      <c r="C778" s="5"/>
      <c r="D778" s="5"/>
      <c r="E778" s="5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5"/>
      <c r="V778" s="5"/>
      <c r="W778" s="5"/>
      <c r="X778" s="5"/>
    </row>
    <row r="779" spans="1:24">
      <c r="A779" s="5"/>
      <c r="B779" s="5"/>
      <c r="C779" s="5"/>
      <c r="D779" s="5"/>
      <c r="E779" s="5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5"/>
      <c r="V779" s="5"/>
      <c r="W779" s="5"/>
      <c r="X779" s="5"/>
    </row>
    <row r="780" spans="1:24">
      <c r="A780" s="5"/>
      <c r="B780" s="5"/>
      <c r="C780" s="5"/>
      <c r="D780" s="5"/>
      <c r="E780" s="5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5"/>
      <c r="V780" s="5"/>
      <c r="W780" s="5"/>
      <c r="X780" s="5"/>
    </row>
    <row r="781" spans="1:24">
      <c r="A781" s="5"/>
      <c r="B781" s="5"/>
      <c r="C781" s="5"/>
      <c r="D781" s="5"/>
      <c r="E781" s="5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5"/>
      <c r="V781" s="5"/>
      <c r="W781" s="5"/>
      <c r="X781" s="5"/>
    </row>
    <row r="782" spans="1:24">
      <c r="A782" s="5"/>
      <c r="B782" s="5"/>
      <c r="C782" s="5"/>
      <c r="D782" s="5"/>
      <c r="E782" s="5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5"/>
      <c r="V782" s="5"/>
      <c r="W782" s="5"/>
      <c r="X782" s="5"/>
    </row>
    <row r="783" spans="1:24">
      <c r="A783" s="5"/>
      <c r="B783" s="5"/>
      <c r="C783" s="5"/>
      <c r="D783" s="5"/>
      <c r="E783" s="5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5"/>
      <c r="V783" s="5"/>
      <c r="W783" s="5"/>
      <c r="X783" s="5"/>
    </row>
    <row r="784" spans="1:24">
      <c r="A784" s="5"/>
      <c r="B784" s="5"/>
      <c r="C784" s="5"/>
      <c r="D784" s="5"/>
      <c r="E784" s="5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5"/>
      <c r="V784" s="5"/>
      <c r="W784" s="5"/>
      <c r="X784" s="5"/>
    </row>
    <row r="785" spans="1:24">
      <c r="A785" s="5"/>
      <c r="B785" s="5"/>
      <c r="C785" s="5"/>
      <c r="D785" s="5"/>
      <c r="E785" s="5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5"/>
      <c r="V785" s="5"/>
      <c r="W785" s="5"/>
      <c r="X785" s="5"/>
    </row>
    <row r="786" spans="1:24">
      <c r="A786" s="5"/>
      <c r="B786" s="5"/>
      <c r="C786" s="5"/>
      <c r="D786" s="5"/>
      <c r="E786" s="5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5"/>
      <c r="V786" s="5"/>
      <c r="W786" s="5"/>
      <c r="X786" s="5"/>
    </row>
    <row r="787" spans="1:24">
      <c r="A787" s="5"/>
      <c r="B787" s="5"/>
      <c r="C787" s="5"/>
      <c r="D787" s="5"/>
      <c r="E787" s="5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5"/>
      <c r="V787" s="5"/>
      <c r="W787" s="5"/>
      <c r="X787" s="5"/>
    </row>
    <row r="788" spans="1:24">
      <c r="A788" s="5"/>
      <c r="B788" s="5"/>
      <c r="C788" s="5"/>
      <c r="D788" s="5"/>
      <c r="E788" s="5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5"/>
      <c r="V788" s="5"/>
      <c r="W788" s="5"/>
      <c r="X788" s="5"/>
    </row>
    <row r="789" spans="1:24">
      <c r="A789" s="5"/>
      <c r="B789" s="5"/>
      <c r="C789" s="5"/>
      <c r="D789" s="5"/>
      <c r="E789" s="5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5"/>
      <c r="V789" s="5"/>
      <c r="W789" s="5"/>
      <c r="X789" s="5"/>
    </row>
    <row r="790" spans="1:24">
      <c r="A790" s="5"/>
      <c r="B790" s="5"/>
      <c r="C790" s="5"/>
      <c r="D790" s="5"/>
      <c r="E790" s="5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5"/>
      <c r="V790" s="5"/>
      <c r="W790" s="5"/>
      <c r="X790" s="5"/>
    </row>
    <row r="791" spans="1:24">
      <c r="A791" s="5"/>
      <c r="B791" s="5"/>
      <c r="C791" s="5"/>
      <c r="D791" s="5"/>
      <c r="E791" s="5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5"/>
      <c r="V791" s="5"/>
      <c r="W791" s="5"/>
      <c r="X791" s="5"/>
    </row>
    <row r="792" spans="1:24">
      <c r="A792" s="5"/>
      <c r="B792" s="5"/>
      <c r="C792" s="5"/>
      <c r="D792" s="5"/>
      <c r="E792" s="5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5"/>
      <c r="V792" s="5"/>
      <c r="W792" s="5"/>
      <c r="X792" s="5"/>
    </row>
    <row r="793" spans="1:24">
      <c r="A793" s="5"/>
      <c r="B793" s="5"/>
      <c r="C793" s="5"/>
      <c r="D793" s="5"/>
      <c r="E793" s="5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5"/>
      <c r="V793" s="5"/>
      <c r="W793" s="5"/>
      <c r="X793" s="5"/>
    </row>
    <row r="794" spans="1:24">
      <c r="A794" s="5"/>
      <c r="B794" s="5"/>
      <c r="C794" s="5"/>
      <c r="D794" s="5"/>
      <c r="E794" s="5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5"/>
      <c r="V794" s="5"/>
      <c r="W794" s="5"/>
      <c r="X794" s="5"/>
    </row>
    <row r="795" spans="1:24">
      <c r="A795" s="5"/>
      <c r="B795" s="5"/>
      <c r="C795" s="5"/>
      <c r="D795" s="5"/>
      <c r="E795" s="5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5"/>
      <c r="V795" s="5"/>
      <c r="W795" s="5"/>
      <c r="X795" s="5"/>
    </row>
    <row r="796" spans="1:24">
      <c r="A796" s="5"/>
      <c r="B796" s="5"/>
      <c r="C796" s="5"/>
      <c r="D796" s="5"/>
      <c r="E796" s="5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5"/>
      <c r="V796" s="5"/>
      <c r="W796" s="5"/>
      <c r="X796" s="5"/>
    </row>
    <row r="797" spans="1:24">
      <c r="A797" s="5"/>
      <c r="B797" s="5"/>
      <c r="C797" s="5"/>
      <c r="D797" s="5"/>
      <c r="E797" s="5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5"/>
      <c r="V797" s="5"/>
      <c r="W797" s="5"/>
      <c r="X797" s="5"/>
    </row>
    <row r="798" spans="1:24">
      <c r="A798" s="5"/>
      <c r="B798" s="5"/>
      <c r="C798" s="5"/>
      <c r="D798" s="5"/>
      <c r="E798" s="5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5"/>
      <c r="V798" s="5"/>
      <c r="W798" s="5"/>
      <c r="X798" s="5"/>
    </row>
    <row r="799" spans="1:24">
      <c r="A799" s="5"/>
      <c r="B799" s="5"/>
      <c r="C799" s="5"/>
      <c r="D799" s="5"/>
      <c r="E799" s="5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5"/>
      <c r="V799" s="5"/>
      <c r="W799" s="5"/>
      <c r="X799" s="5"/>
    </row>
    <row r="800" spans="1:24">
      <c r="A800" s="5"/>
      <c r="B800" s="5"/>
      <c r="C800" s="5"/>
      <c r="D800" s="5"/>
      <c r="E800" s="5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5"/>
      <c r="V800" s="5"/>
      <c r="W800" s="5"/>
      <c r="X800" s="5"/>
    </row>
    <row r="801" spans="1:24">
      <c r="A801" s="5"/>
      <c r="B801" s="5"/>
      <c r="C801" s="5"/>
      <c r="D801" s="5"/>
      <c r="E801" s="5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5"/>
      <c r="V801" s="5"/>
      <c r="W801" s="5"/>
      <c r="X801" s="5"/>
    </row>
    <row r="802" spans="1:24">
      <c r="A802" s="5"/>
      <c r="B802" s="5"/>
      <c r="C802" s="5"/>
      <c r="D802" s="5"/>
      <c r="E802" s="5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5"/>
      <c r="V802" s="5"/>
      <c r="W802" s="5"/>
      <c r="X802" s="5"/>
    </row>
    <row r="803" spans="1:24">
      <c r="A803" s="5"/>
      <c r="B803" s="5"/>
      <c r="C803" s="5"/>
      <c r="D803" s="5"/>
      <c r="E803" s="5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5"/>
      <c r="V803" s="5"/>
      <c r="W803" s="5"/>
      <c r="X803" s="5"/>
    </row>
    <row r="804" spans="1:24">
      <c r="A804" s="5"/>
      <c r="B804" s="5"/>
      <c r="C804" s="5"/>
      <c r="D804" s="5"/>
      <c r="E804" s="5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5"/>
      <c r="V804" s="5"/>
      <c r="W804" s="5"/>
      <c r="X804" s="5"/>
    </row>
    <row r="805" spans="1:24">
      <c r="A805" s="5"/>
      <c r="B805" s="5"/>
      <c r="C805" s="5"/>
      <c r="D805" s="5"/>
      <c r="E805" s="5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5"/>
      <c r="V805" s="5"/>
      <c r="W805" s="5"/>
      <c r="X805" s="5"/>
    </row>
    <row r="806" spans="1:24">
      <c r="A806" s="5"/>
      <c r="B806" s="5"/>
      <c r="C806" s="5"/>
      <c r="D806" s="5"/>
      <c r="E806" s="5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5"/>
      <c r="V806" s="5"/>
      <c r="W806" s="5"/>
      <c r="X806" s="5"/>
    </row>
    <row r="807" spans="1:24">
      <c r="A807" s="5"/>
      <c r="B807" s="5"/>
      <c r="C807" s="5"/>
      <c r="D807" s="5"/>
      <c r="E807" s="5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5"/>
      <c r="V807" s="5"/>
      <c r="W807" s="5"/>
      <c r="X807" s="5"/>
    </row>
    <row r="808" spans="1:24">
      <c r="A808" s="5"/>
      <c r="B808" s="5"/>
      <c r="C808" s="5"/>
      <c r="D808" s="5"/>
      <c r="E808" s="5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5"/>
      <c r="V808" s="5"/>
      <c r="W808" s="5"/>
      <c r="X808" s="5"/>
    </row>
    <row r="809" spans="1:24">
      <c r="A809" s="5"/>
      <c r="B809" s="5"/>
      <c r="C809" s="5"/>
      <c r="D809" s="5"/>
      <c r="E809" s="5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5"/>
      <c r="V809" s="5"/>
      <c r="W809" s="5"/>
      <c r="X809" s="5"/>
    </row>
    <row r="810" spans="1:24">
      <c r="A810" s="5"/>
      <c r="B810" s="5"/>
      <c r="C810" s="5"/>
      <c r="D810" s="5"/>
      <c r="E810" s="5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5"/>
      <c r="V810" s="5"/>
      <c r="W810" s="5"/>
      <c r="X810" s="5"/>
    </row>
    <row r="811" spans="1:24">
      <c r="A811" s="5"/>
      <c r="B811" s="5"/>
      <c r="C811" s="5"/>
      <c r="D811" s="5"/>
      <c r="E811" s="5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5"/>
      <c r="V811" s="5"/>
      <c r="W811" s="5"/>
      <c r="X811" s="5"/>
    </row>
    <row r="812" spans="1:24">
      <c r="A812" s="5"/>
      <c r="B812" s="5"/>
      <c r="C812" s="5"/>
      <c r="D812" s="5"/>
      <c r="E812" s="5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5"/>
      <c r="V812" s="5"/>
      <c r="W812" s="5"/>
      <c r="X812" s="5"/>
    </row>
    <row r="813" spans="1:24">
      <c r="A813" s="5"/>
      <c r="B813" s="5"/>
      <c r="C813" s="5"/>
      <c r="D813" s="5"/>
      <c r="E813" s="5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5"/>
      <c r="V813" s="5"/>
      <c r="W813" s="5"/>
      <c r="X813" s="5"/>
    </row>
    <row r="814" spans="1:24">
      <c r="A814" s="5"/>
      <c r="B814" s="5"/>
      <c r="C814" s="5"/>
      <c r="D814" s="5"/>
      <c r="E814" s="5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5"/>
      <c r="V814" s="5"/>
      <c r="W814" s="5"/>
      <c r="X814" s="5"/>
    </row>
    <row r="815" spans="1:24">
      <c r="A815" s="5"/>
      <c r="B815" s="5"/>
      <c r="C815" s="5"/>
      <c r="D815" s="5"/>
      <c r="E815" s="5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5"/>
      <c r="V815" s="5"/>
      <c r="W815" s="5"/>
      <c r="X815" s="5"/>
    </row>
    <row r="816" spans="1:24">
      <c r="A816" s="5"/>
      <c r="B816" s="5"/>
      <c r="C816" s="5"/>
      <c r="D816" s="5"/>
      <c r="E816" s="5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5"/>
      <c r="V816" s="5"/>
      <c r="W816" s="5"/>
      <c r="X816" s="5"/>
    </row>
    <row r="817" spans="1:24">
      <c r="A817" s="5"/>
      <c r="B817" s="5"/>
      <c r="C817" s="5"/>
      <c r="D817" s="5"/>
      <c r="E817" s="5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5"/>
      <c r="V817" s="5"/>
      <c r="W817" s="5"/>
      <c r="X817" s="5"/>
    </row>
    <row r="818" spans="1:24">
      <c r="A818" s="5"/>
      <c r="B818" s="5"/>
      <c r="C818" s="5"/>
      <c r="D818" s="5"/>
      <c r="E818" s="5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5"/>
      <c r="V818" s="5"/>
      <c r="W818" s="5"/>
      <c r="X818" s="5"/>
    </row>
    <row r="819" spans="1:24">
      <c r="A819" s="5"/>
      <c r="B819" s="5"/>
      <c r="C819" s="5"/>
      <c r="D819" s="5"/>
      <c r="E819" s="5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5"/>
      <c r="V819" s="5"/>
      <c r="W819" s="5"/>
      <c r="X819" s="5"/>
    </row>
    <row r="820" spans="1:24">
      <c r="A820" s="5"/>
      <c r="B820" s="5"/>
      <c r="C820" s="5"/>
      <c r="D820" s="5"/>
      <c r="E820" s="5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5"/>
      <c r="V820" s="5"/>
      <c r="W820" s="5"/>
      <c r="X820" s="5"/>
    </row>
    <row r="821" spans="1:24">
      <c r="A821" s="5"/>
      <c r="B821" s="5"/>
      <c r="C821" s="5"/>
      <c r="D821" s="5"/>
      <c r="E821" s="5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5"/>
      <c r="V821" s="5"/>
      <c r="W821" s="5"/>
      <c r="X821" s="5"/>
    </row>
    <row r="822" spans="1:24">
      <c r="A822" s="5"/>
      <c r="B822" s="5"/>
      <c r="C822" s="5"/>
      <c r="D822" s="5"/>
      <c r="E822" s="5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5"/>
      <c r="V822" s="5"/>
      <c r="W822" s="5"/>
      <c r="X822" s="5"/>
    </row>
    <row r="823" spans="1:24">
      <c r="A823" s="5"/>
      <c r="B823" s="5"/>
      <c r="C823" s="5"/>
      <c r="D823" s="5"/>
      <c r="E823" s="5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5"/>
      <c r="V823" s="5"/>
      <c r="W823" s="5"/>
      <c r="X823" s="5"/>
    </row>
    <row r="824" spans="1:24">
      <c r="A824" s="5"/>
      <c r="B824" s="5"/>
      <c r="C824" s="5"/>
      <c r="D824" s="5"/>
      <c r="E824" s="5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5"/>
      <c r="V824" s="5"/>
      <c r="W824" s="5"/>
      <c r="X824" s="5"/>
    </row>
    <row r="825" spans="1:24">
      <c r="A825" s="5"/>
      <c r="B825" s="5"/>
      <c r="C825" s="5"/>
      <c r="D825" s="5"/>
      <c r="E825" s="5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5"/>
      <c r="V825" s="5"/>
      <c r="W825" s="5"/>
      <c r="X825" s="5"/>
    </row>
    <row r="826" spans="1:24">
      <c r="A826" s="5"/>
      <c r="B826" s="5"/>
      <c r="C826" s="5"/>
      <c r="D826" s="5"/>
      <c r="E826" s="5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5"/>
      <c r="V826" s="5"/>
      <c r="W826" s="5"/>
      <c r="X826" s="5"/>
    </row>
    <row r="827" spans="1:24">
      <c r="A827" s="5"/>
      <c r="B827" s="5"/>
      <c r="C827" s="5"/>
      <c r="D827" s="5"/>
      <c r="E827" s="5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5"/>
      <c r="V827" s="5"/>
      <c r="W827" s="5"/>
      <c r="X827" s="5"/>
    </row>
    <row r="828" spans="1:24">
      <c r="A828" s="5"/>
      <c r="B828" s="5"/>
      <c r="C828" s="5"/>
      <c r="D828" s="5"/>
      <c r="E828" s="5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5"/>
      <c r="V828" s="5"/>
      <c r="W828" s="5"/>
      <c r="X828" s="5"/>
    </row>
    <row r="829" spans="1:24">
      <c r="A829" s="5"/>
      <c r="B829" s="5"/>
      <c r="C829" s="5"/>
      <c r="D829" s="5"/>
      <c r="E829" s="5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5"/>
      <c r="V829" s="5"/>
      <c r="W829" s="5"/>
      <c r="X829" s="5"/>
    </row>
    <row r="830" spans="1:24">
      <c r="A830" s="5"/>
      <c r="B830" s="5"/>
      <c r="C830" s="5"/>
      <c r="D830" s="5"/>
      <c r="E830" s="5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5"/>
      <c r="V830" s="5"/>
      <c r="W830" s="5"/>
      <c r="X830" s="5"/>
    </row>
    <row r="831" spans="1:24">
      <c r="A831" s="5"/>
      <c r="B831" s="5"/>
      <c r="C831" s="5"/>
      <c r="D831" s="5"/>
      <c r="E831" s="5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5"/>
      <c r="V831" s="5"/>
      <c r="W831" s="5"/>
      <c r="X831" s="5"/>
    </row>
    <row r="832" spans="1:24">
      <c r="A832" s="5"/>
      <c r="B832" s="5"/>
      <c r="C832" s="5"/>
      <c r="D832" s="5"/>
      <c r="E832" s="5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5"/>
      <c r="V832" s="5"/>
      <c r="W832" s="5"/>
      <c r="X832" s="5"/>
    </row>
    <row r="833" spans="1:24">
      <c r="A833" s="5"/>
      <c r="B833" s="5"/>
      <c r="C833" s="5"/>
      <c r="D833" s="5"/>
      <c r="E833" s="5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5"/>
      <c r="V833" s="5"/>
      <c r="W833" s="5"/>
      <c r="X833" s="5"/>
    </row>
    <row r="834" spans="1:24">
      <c r="A834" s="5"/>
      <c r="B834" s="5"/>
      <c r="C834" s="5"/>
      <c r="D834" s="5"/>
      <c r="E834" s="5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5"/>
      <c r="V834" s="5"/>
      <c r="W834" s="5"/>
      <c r="X834" s="5"/>
    </row>
    <row r="835" spans="1:24">
      <c r="A835" s="5"/>
      <c r="B835" s="5"/>
      <c r="C835" s="5"/>
      <c r="D835" s="5"/>
      <c r="E835" s="5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5"/>
      <c r="V835" s="5"/>
      <c r="W835" s="5"/>
      <c r="X835" s="5"/>
    </row>
    <row r="836" spans="1:24">
      <c r="A836" s="5"/>
      <c r="B836" s="5"/>
      <c r="C836" s="5"/>
      <c r="D836" s="5"/>
      <c r="E836" s="5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5"/>
      <c r="V836" s="5"/>
      <c r="W836" s="5"/>
      <c r="X836" s="5"/>
    </row>
    <row r="837" spans="1:24">
      <c r="A837" s="5"/>
      <c r="B837" s="5"/>
      <c r="C837" s="5"/>
      <c r="D837" s="5"/>
      <c r="E837" s="5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5"/>
      <c r="V837" s="5"/>
      <c r="W837" s="5"/>
      <c r="X837" s="5"/>
    </row>
    <row r="838" spans="1:24">
      <c r="A838" s="5"/>
      <c r="B838" s="5"/>
      <c r="C838" s="5"/>
      <c r="D838" s="5"/>
      <c r="E838" s="5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5"/>
      <c r="V838" s="5"/>
      <c r="W838" s="5"/>
      <c r="X838" s="5"/>
    </row>
    <row r="839" spans="1:24">
      <c r="A839" s="5"/>
      <c r="B839" s="5"/>
      <c r="C839" s="5"/>
      <c r="D839" s="5"/>
      <c r="E839" s="5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5"/>
      <c r="V839" s="5"/>
      <c r="W839" s="5"/>
      <c r="X839" s="5"/>
    </row>
    <row r="840" spans="1:24">
      <c r="A840" s="5"/>
      <c r="B840" s="5"/>
      <c r="C840" s="5"/>
      <c r="D840" s="5"/>
      <c r="E840" s="5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5"/>
      <c r="V840" s="5"/>
      <c r="W840" s="5"/>
      <c r="X840" s="5"/>
    </row>
    <row r="841" spans="1:24">
      <c r="A841" s="5"/>
      <c r="B841" s="5"/>
      <c r="C841" s="5"/>
      <c r="D841" s="5"/>
      <c r="E841" s="5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5"/>
      <c r="V841" s="5"/>
      <c r="W841" s="5"/>
      <c r="X841" s="5"/>
    </row>
    <row r="842" spans="1:24">
      <c r="A842" s="5"/>
      <c r="B842" s="5"/>
      <c r="C842" s="5"/>
      <c r="D842" s="5"/>
      <c r="E842" s="5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5"/>
      <c r="V842" s="5"/>
      <c r="W842" s="5"/>
      <c r="X842" s="5"/>
    </row>
    <row r="843" spans="1:24">
      <c r="A843" s="5"/>
      <c r="B843" s="5"/>
      <c r="C843" s="5"/>
      <c r="D843" s="5"/>
      <c r="E843" s="5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5"/>
      <c r="V843" s="5"/>
      <c r="W843" s="5"/>
      <c r="X843" s="5"/>
    </row>
    <row r="844" spans="1:24">
      <c r="A844" s="5"/>
      <c r="B844" s="5"/>
      <c r="C844" s="5"/>
      <c r="D844" s="5"/>
      <c r="E844" s="5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5"/>
      <c r="V844" s="5"/>
      <c r="W844" s="5"/>
      <c r="X844" s="5"/>
    </row>
    <row r="845" spans="1:24">
      <c r="A845" s="5"/>
      <c r="B845" s="5"/>
      <c r="C845" s="5"/>
      <c r="D845" s="5"/>
      <c r="E845" s="5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5"/>
      <c r="V845" s="5"/>
      <c r="W845" s="5"/>
      <c r="X845" s="5"/>
    </row>
    <row r="846" spans="1:24">
      <c r="A846" s="5"/>
      <c r="B846" s="5"/>
      <c r="C846" s="5"/>
      <c r="D846" s="5"/>
      <c r="E846" s="5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5"/>
      <c r="V846" s="5"/>
      <c r="W846" s="5"/>
      <c r="X846" s="5"/>
    </row>
    <row r="847" spans="1:24">
      <c r="A847" s="5"/>
      <c r="B847" s="5"/>
      <c r="C847" s="5"/>
      <c r="D847" s="5"/>
      <c r="E847" s="5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5"/>
      <c r="V847" s="5"/>
      <c r="W847" s="5"/>
      <c r="X847" s="5"/>
    </row>
    <row r="848" spans="1:24">
      <c r="A848" s="5"/>
      <c r="B848" s="5"/>
      <c r="C848" s="5"/>
      <c r="D848" s="5"/>
      <c r="E848" s="5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5"/>
      <c r="V848" s="5"/>
      <c r="W848" s="5"/>
      <c r="X848" s="5"/>
    </row>
    <row r="849" spans="1:24">
      <c r="A849" s="5"/>
      <c r="B849" s="5"/>
      <c r="C849" s="5"/>
      <c r="D849" s="5"/>
      <c r="E849" s="5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5"/>
      <c r="V849" s="5"/>
      <c r="W849" s="5"/>
      <c r="X849" s="5"/>
    </row>
    <row r="850" spans="1:24">
      <c r="A850" s="5"/>
      <c r="B850" s="5"/>
      <c r="C850" s="5"/>
      <c r="D850" s="5"/>
      <c r="E850" s="5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5"/>
      <c r="V850" s="5"/>
      <c r="W850" s="5"/>
      <c r="X850" s="5"/>
    </row>
    <row r="851" spans="1:24">
      <c r="A851" s="5"/>
      <c r="B851" s="5"/>
      <c r="C851" s="5"/>
      <c r="D851" s="5"/>
      <c r="E851" s="5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5"/>
      <c r="V851" s="5"/>
      <c r="W851" s="5"/>
      <c r="X851" s="5"/>
    </row>
    <row r="852" spans="1:24">
      <c r="A852" s="5"/>
      <c r="B852" s="5"/>
      <c r="C852" s="5"/>
      <c r="D852" s="5"/>
      <c r="E852" s="5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5"/>
      <c r="V852" s="5"/>
      <c r="W852" s="5"/>
      <c r="X852" s="5"/>
    </row>
    <row r="853" spans="1:24">
      <c r="A853" s="5"/>
      <c r="B853" s="5"/>
      <c r="C853" s="5"/>
      <c r="D853" s="5"/>
      <c r="E853" s="5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5"/>
      <c r="V853" s="5"/>
      <c r="W853" s="5"/>
      <c r="X853" s="5"/>
    </row>
    <row r="854" spans="1:24">
      <c r="A854" s="5"/>
      <c r="B854" s="5"/>
      <c r="C854" s="5"/>
      <c r="D854" s="5"/>
      <c r="E854" s="5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5"/>
      <c r="V854" s="5"/>
      <c r="W854" s="5"/>
      <c r="X854" s="5"/>
    </row>
    <row r="855" spans="1:24">
      <c r="A855" s="5"/>
      <c r="B855" s="5"/>
      <c r="C855" s="5"/>
      <c r="D855" s="5"/>
      <c r="E855" s="5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5"/>
      <c r="V855" s="5"/>
      <c r="W855" s="5"/>
      <c r="X855" s="5"/>
    </row>
    <row r="856" spans="1:24">
      <c r="A856" s="5"/>
      <c r="B856" s="5"/>
      <c r="C856" s="5"/>
      <c r="D856" s="5"/>
      <c r="E856" s="5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5"/>
      <c r="V856" s="5"/>
      <c r="W856" s="5"/>
      <c r="X856" s="5"/>
    </row>
    <row r="857" spans="1:24">
      <c r="A857" s="5"/>
      <c r="B857" s="5"/>
      <c r="C857" s="5"/>
      <c r="D857" s="5"/>
      <c r="E857" s="5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5"/>
      <c r="V857" s="5"/>
      <c r="W857" s="5"/>
      <c r="X857" s="5"/>
    </row>
    <row r="858" spans="1:24">
      <c r="A858" s="5"/>
      <c r="B858" s="5"/>
      <c r="C858" s="5"/>
      <c r="D858" s="5"/>
      <c r="E858" s="5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5"/>
      <c r="V858" s="5"/>
      <c r="W858" s="5"/>
      <c r="X858" s="5"/>
    </row>
    <row r="859" spans="1:24">
      <c r="A859" s="5"/>
      <c r="B859" s="5"/>
      <c r="C859" s="5"/>
      <c r="D859" s="5"/>
      <c r="E859" s="5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5"/>
      <c r="V859" s="5"/>
      <c r="W859" s="5"/>
      <c r="X859" s="5"/>
    </row>
    <row r="860" spans="1:24">
      <c r="A860" s="5"/>
      <c r="B860" s="5"/>
      <c r="C860" s="5"/>
      <c r="D860" s="5"/>
      <c r="E860" s="5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5"/>
      <c r="V860" s="5"/>
      <c r="W860" s="5"/>
      <c r="X860" s="5"/>
    </row>
    <row r="861" spans="1:24">
      <c r="A861" s="5"/>
      <c r="B861" s="5"/>
      <c r="C861" s="5"/>
      <c r="D861" s="5"/>
      <c r="E861" s="5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5"/>
      <c r="V861" s="5"/>
      <c r="W861" s="5"/>
      <c r="X861" s="5"/>
    </row>
    <row r="862" spans="1:24">
      <c r="A862" s="5"/>
      <c r="B862" s="5"/>
      <c r="C862" s="5"/>
      <c r="D862" s="5"/>
      <c r="E862" s="5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5"/>
      <c r="V862" s="5"/>
      <c r="W862" s="5"/>
      <c r="X862" s="5"/>
    </row>
    <row r="863" spans="1:24">
      <c r="A863" s="5"/>
      <c r="B863" s="5"/>
      <c r="C863" s="5"/>
      <c r="D863" s="5"/>
      <c r="E863" s="5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5"/>
      <c r="V863" s="5"/>
      <c r="W863" s="5"/>
      <c r="X863" s="5"/>
    </row>
    <row r="864" spans="1:24">
      <c r="A864" s="5"/>
      <c r="B864" s="5"/>
      <c r="C864" s="5"/>
      <c r="D864" s="5"/>
      <c r="E864" s="5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5"/>
      <c r="V864" s="5"/>
      <c r="W864" s="5"/>
      <c r="X864" s="5"/>
    </row>
    <row r="865" spans="1:24">
      <c r="A865" s="5"/>
      <c r="B865" s="5"/>
      <c r="C865" s="5"/>
      <c r="D865" s="5"/>
      <c r="E865" s="5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5"/>
      <c r="V865" s="5"/>
      <c r="W865" s="5"/>
      <c r="X865" s="5"/>
    </row>
    <row r="866" spans="1:24">
      <c r="A866" s="5"/>
      <c r="B866" s="5"/>
      <c r="C866" s="5"/>
      <c r="D866" s="5"/>
      <c r="E866" s="5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5"/>
      <c r="V866" s="5"/>
      <c r="W866" s="5"/>
      <c r="X866" s="5"/>
    </row>
    <row r="867" spans="1:24">
      <c r="A867" s="5"/>
      <c r="B867" s="5"/>
      <c r="C867" s="5"/>
      <c r="D867" s="5"/>
      <c r="E867" s="5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5"/>
      <c r="V867" s="5"/>
      <c r="W867" s="5"/>
      <c r="X867" s="5"/>
    </row>
    <row r="868" spans="1:24">
      <c r="A868" s="5"/>
      <c r="B868" s="5"/>
      <c r="C868" s="5"/>
      <c r="D868" s="5"/>
      <c r="E868" s="5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5"/>
      <c r="V868" s="5"/>
      <c r="W868" s="5"/>
      <c r="X868" s="5"/>
    </row>
    <row r="869" spans="1:24">
      <c r="A869" s="5"/>
      <c r="B869" s="5"/>
      <c r="C869" s="5"/>
      <c r="D869" s="5"/>
      <c r="E869" s="5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5"/>
      <c r="V869" s="5"/>
      <c r="W869" s="5"/>
      <c r="X869" s="5"/>
    </row>
    <row r="870" spans="1:24">
      <c r="A870" s="5"/>
      <c r="B870" s="5"/>
      <c r="C870" s="5"/>
      <c r="D870" s="5"/>
      <c r="E870" s="5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5"/>
      <c r="V870" s="5"/>
      <c r="W870" s="5"/>
      <c r="X870" s="5"/>
    </row>
    <row r="871" spans="1:24">
      <c r="A871" s="5"/>
      <c r="B871" s="5"/>
      <c r="C871" s="5"/>
      <c r="D871" s="5"/>
      <c r="E871" s="5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5"/>
      <c r="V871" s="5"/>
      <c r="W871" s="5"/>
      <c r="X871" s="5"/>
    </row>
    <row r="872" spans="1:24">
      <c r="A872" s="5"/>
      <c r="B872" s="5"/>
      <c r="C872" s="5"/>
      <c r="D872" s="5"/>
      <c r="E872" s="5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5"/>
      <c r="V872" s="5"/>
      <c r="W872" s="5"/>
      <c r="X872" s="5"/>
    </row>
    <row r="873" spans="1:24">
      <c r="A873" s="5"/>
      <c r="B873" s="5"/>
      <c r="C873" s="5"/>
      <c r="D873" s="5"/>
      <c r="E873" s="5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5"/>
      <c r="V873" s="5"/>
      <c r="W873" s="5"/>
      <c r="X873" s="5"/>
    </row>
    <row r="874" spans="1:24">
      <c r="A874" s="5"/>
      <c r="B874" s="5"/>
      <c r="C874" s="5"/>
      <c r="D874" s="5"/>
      <c r="E874" s="5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5"/>
      <c r="V874" s="5"/>
      <c r="W874" s="5"/>
      <c r="X874" s="5"/>
    </row>
    <row r="875" spans="1:24">
      <c r="A875" s="5"/>
      <c r="B875" s="5"/>
      <c r="C875" s="5"/>
      <c r="D875" s="5"/>
      <c r="E875" s="5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5"/>
      <c r="V875" s="5"/>
      <c r="W875" s="5"/>
      <c r="X875" s="5"/>
    </row>
    <row r="876" spans="1:24">
      <c r="A876" s="5"/>
      <c r="B876" s="5"/>
      <c r="C876" s="5"/>
      <c r="D876" s="5"/>
      <c r="E876" s="5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5"/>
      <c r="V876" s="5"/>
      <c r="W876" s="5"/>
      <c r="X876" s="5"/>
    </row>
    <row r="877" spans="1:24">
      <c r="A877" s="5"/>
      <c r="B877" s="5"/>
      <c r="C877" s="5"/>
      <c r="D877" s="5"/>
      <c r="E877" s="5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5"/>
      <c r="V877" s="5"/>
      <c r="W877" s="5"/>
      <c r="X877" s="5"/>
    </row>
    <row r="878" spans="1:24">
      <c r="A878" s="5"/>
      <c r="B878" s="5"/>
      <c r="C878" s="5"/>
      <c r="D878" s="5"/>
      <c r="E878" s="5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5"/>
      <c r="V878" s="5"/>
      <c r="W878" s="5"/>
      <c r="X878" s="5"/>
    </row>
    <row r="879" spans="1:24">
      <c r="A879" s="5"/>
      <c r="B879" s="5"/>
      <c r="C879" s="5"/>
      <c r="D879" s="5"/>
      <c r="E879" s="5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5"/>
      <c r="V879" s="5"/>
      <c r="W879" s="5"/>
      <c r="X879" s="5"/>
    </row>
    <row r="880" spans="1:24">
      <c r="A880" s="5"/>
      <c r="B880" s="5"/>
      <c r="C880" s="5"/>
      <c r="D880" s="5"/>
      <c r="E880" s="5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5"/>
      <c r="V880" s="5"/>
      <c r="W880" s="5"/>
      <c r="X880" s="5"/>
    </row>
    <row r="881" spans="1:24">
      <c r="A881" s="5"/>
      <c r="B881" s="5"/>
      <c r="C881" s="5"/>
      <c r="D881" s="5"/>
      <c r="E881" s="5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5"/>
      <c r="V881" s="5"/>
      <c r="W881" s="5"/>
      <c r="X881" s="5"/>
    </row>
    <row r="882" spans="1:24">
      <c r="A882" s="5"/>
      <c r="B882" s="5"/>
      <c r="C882" s="5"/>
      <c r="D882" s="5"/>
      <c r="E882" s="5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5"/>
      <c r="V882" s="5"/>
      <c r="W882" s="5"/>
      <c r="X882" s="5"/>
    </row>
    <row r="883" spans="1:24">
      <c r="A883" s="5"/>
      <c r="B883" s="5"/>
      <c r="C883" s="5"/>
      <c r="D883" s="5"/>
      <c r="E883" s="5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5"/>
      <c r="V883" s="5"/>
      <c r="W883" s="5"/>
      <c r="X883" s="5"/>
    </row>
    <row r="884" spans="1:24">
      <c r="A884" s="5"/>
      <c r="B884" s="5"/>
      <c r="C884" s="5"/>
      <c r="D884" s="5"/>
      <c r="E884" s="5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5"/>
      <c r="V884" s="5"/>
      <c r="W884" s="5"/>
      <c r="X884" s="5"/>
    </row>
    <row r="885" spans="1:24">
      <c r="A885" s="5"/>
      <c r="B885" s="5"/>
      <c r="C885" s="5"/>
      <c r="D885" s="5"/>
      <c r="E885" s="5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5"/>
      <c r="V885" s="5"/>
      <c r="W885" s="5"/>
      <c r="X885" s="5"/>
    </row>
    <row r="886" spans="1:24">
      <c r="A886" s="5"/>
      <c r="B886" s="5"/>
      <c r="C886" s="5"/>
      <c r="D886" s="5"/>
      <c r="E886" s="5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5"/>
      <c r="V886" s="5"/>
      <c r="W886" s="5"/>
      <c r="X886" s="5"/>
    </row>
    <row r="887" spans="1:24">
      <c r="A887" s="5"/>
      <c r="B887" s="5"/>
      <c r="C887" s="5"/>
      <c r="D887" s="5"/>
      <c r="E887" s="5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5"/>
      <c r="V887" s="5"/>
      <c r="W887" s="5"/>
      <c r="X887" s="5"/>
    </row>
    <row r="888" spans="1:24">
      <c r="A888" s="5"/>
      <c r="B888" s="5"/>
      <c r="C888" s="5"/>
      <c r="D888" s="5"/>
      <c r="E888" s="5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5"/>
      <c r="V888" s="5"/>
      <c r="W888" s="5"/>
      <c r="X888" s="5"/>
    </row>
    <row r="889" spans="1:24">
      <c r="A889" s="5"/>
      <c r="B889" s="5"/>
      <c r="C889" s="5"/>
      <c r="D889" s="5"/>
      <c r="E889" s="5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5"/>
      <c r="V889" s="5"/>
      <c r="W889" s="5"/>
      <c r="X889" s="5"/>
    </row>
    <row r="890" spans="1:24">
      <c r="A890" s="5"/>
      <c r="B890" s="5"/>
      <c r="C890" s="5"/>
      <c r="D890" s="5"/>
      <c r="E890" s="5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5"/>
      <c r="V890" s="5"/>
      <c r="W890" s="5"/>
      <c r="X890" s="5"/>
    </row>
    <row r="891" spans="1:24">
      <c r="A891" s="5"/>
      <c r="B891" s="5"/>
      <c r="C891" s="5"/>
      <c r="D891" s="5"/>
      <c r="E891" s="5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5"/>
      <c r="V891" s="5"/>
      <c r="W891" s="5"/>
      <c r="X891" s="5"/>
    </row>
    <row r="892" spans="1:24">
      <c r="A892" s="5"/>
      <c r="B892" s="5"/>
      <c r="C892" s="5"/>
      <c r="D892" s="5"/>
      <c r="E892" s="5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5"/>
      <c r="V892" s="5"/>
      <c r="W892" s="5"/>
      <c r="X892" s="5"/>
    </row>
    <row r="893" spans="1:24">
      <c r="A893" s="5"/>
      <c r="B893" s="5"/>
      <c r="C893" s="5"/>
      <c r="D893" s="5"/>
      <c r="E893" s="5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5"/>
      <c r="V893" s="5"/>
      <c r="W893" s="5"/>
      <c r="X893" s="5"/>
    </row>
    <row r="894" spans="1:24">
      <c r="A894" s="5"/>
      <c r="B894" s="5"/>
      <c r="C894" s="5"/>
      <c r="D894" s="5"/>
      <c r="E894" s="5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5"/>
      <c r="V894" s="5"/>
      <c r="W894" s="5"/>
      <c r="X894" s="5"/>
    </row>
    <row r="895" spans="1:24">
      <c r="A895" s="5"/>
      <c r="B895" s="5"/>
      <c r="C895" s="5"/>
      <c r="D895" s="5"/>
      <c r="E895" s="5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5"/>
      <c r="V895" s="5"/>
      <c r="W895" s="5"/>
      <c r="X895" s="5"/>
    </row>
    <row r="896" spans="1:24">
      <c r="A896" s="5"/>
      <c r="B896" s="5"/>
      <c r="C896" s="5"/>
      <c r="D896" s="5"/>
      <c r="E896" s="5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5"/>
      <c r="V896" s="5"/>
      <c r="W896" s="5"/>
      <c r="X896" s="5"/>
    </row>
    <row r="897" spans="1:24">
      <c r="A897" s="5"/>
      <c r="B897" s="5"/>
      <c r="C897" s="5"/>
      <c r="D897" s="5"/>
      <c r="E897" s="5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5"/>
      <c r="V897" s="5"/>
      <c r="W897" s="5"/>
      <c r="X897" s="5"/>
    </row>
    <row r="898" spans="1:24">
      <c r="A898" s="5"/>
      <c r="B898" s="5"/>
      <c r="C898" s="5"/>
      <c r="D898" s="5"/>
      <c r="E898" s="5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5"/>
      <c r="V898" s="5"/>
      <c r="W898" s="5"/>
      <c r="X898" s="5"/>
    </row>
    <row r="899" spans="1:24">
      <c r="A899" s="5"/>
      <c r="B899" s="5"/>
      <c r="C899" s="5"/>
      <c r="D899" s="5"/>
      <c r="E899" s="5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5"/>
      <c r="V899" s="5"/>
      <c r="W899" s="5"/>
      <c r="X899" s="5"/>
    </row>
    <row r="900" spans="1:24">
      <c r="A900" s="5"/>
      <c r="B900" s="5"/>
      <c r="C900" s="5"/>
      <c r="D900" s="5"/>
      <c r="E900" s="5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5"/>
      <c r="V900" s="5"/>
      <c r="W900" s="5"/>
      <c r="X900" s="5"/>
    </row>
    <row r="901" spans="1:24">
      <c r="A901" s="5"/>
      <c r="B901" s="5"/>
      <c r="C901" s="5"/>
      <c r="D901" s="5"/>
      <c r="E901" s="5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5"/>
      <c r="V901" s="5"/>
      <c r="W901" s="5"/>
      <c r="X901" s="5"/>
    </row>
    <row r="902" spans="1:24">
      <c r="A902" s="5"/>
      <c r="B902" s="5"/>
      <c r="C902" s="5"/>
      <c r="D902" s="5"/>
      <c r="E902" s="5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5"/>
      <c r="V902" s="5"/>
      <c r="W902" s="5"/>
      <c r="X902" s="5"/>
    </row>
    <row r="903" spans="1:24">
      <c r="A903" s="5"/>
      <c r="B903" s="5"/>
      <c r="C903" s="5"/>
      <c r="D903" s="5"/>
      <c r="E903" s="5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5"/>
      <c r="V903" s="5"/>
      <c r="W903" s="5"/>
      <c r="X903" s="5"/>
    </row>
    <row r="904" spans="1:24">
      <c r="A904" s="5"/>
      <c r="B904" s="5"/>
      <c r="C904" s="5"/>
      <c r="D904" s="5"/>
      <c r="E904" s="5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5"/>
      <c r="V904" s="5"/>
      <c r="W904" s="5"/>
      <c r="X904" s="5"/>
    </row>
    <row r="905" spans="1:24">
      <c r="A905" s="5"/>
      <c r="B905" s="5"/>
      <c r="C905" s="5"/>
      <c r="D905" s="5"/>
      <c r="E905" s="5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5"/>
      <c r="V905" s="5"/>
      <c r="W905" s="5"/>
      <c r="X905" s="5"/>
    </row>
    <row r="906" spans="1:24">
      <c r="A906" s="5"/>
      <c r="B906" s="5"/>
      <c r="C906" s="5"/>
      <c r="D906" s="5"/>
      <c r="E906" s="5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5"/>
      <c r="V906" s="5"/>
      <c r="W906" s="5"/>
      <c r="X906" s="5"/>
    </row>
    <row r="907" spans="1:24">
      <c r="A907" s="5"/>
      <c r="B907" s="5"/>
      <c r="C907" s="5"/>
      <c r="D907" s="5"/>
      <c r="E907" s="5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5"/>
      <c r="V907" s="5"/>
      <c r="W907" s="5"/>
      <c r="X907" s="5"/>
    </row>
    <row r="908" spans="1:24">
      <c r="A908" s="5"/>
      <c r="B908" s="5"/>
      <c r="C908" s="5"/>
      <c r="D908" s="5"/>
      <c r="E908" s="5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5"/>
      <c r="V908" s="5"/>
      <c r="W908" s="5"/>
      <c r="X908" s="5"/>
    </row>
    <row r="909" spans="1:24">
      <c r="A909" s="5"/>
      <c r="B909" s="5"/>
      <c r="C909" s="5"/>
      <c r="D909" s="5"/>
      <c r="E909" s="5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5"/>
      <c r="V909" s="5"/>
      <c r="W909" s="5"/>
      <c r="X909" s="5"/>
    </row>
    <row r="910" spans="1:24">
      <c r="A910" s="5"/>
      <c r="B910" s="5"/>
      <c r="C910" s="5"/>
      <c r="D910" s="5"/>
      <c r="E910" s="5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5"/>
      <c r="V910" s="5"/>
      <c r="W910" s="5"/>
      <c r="X910" s="5"/>
    </row>
    <row r="911" spans="1:24">
      <c r="A911" s="5"/>
      <c r="B911" s="5"/>
      <c r="C911" s="5"/>
      <c r="D911" s="5"/>
      <c r="E911" s="5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5"/>
      <c r="V911" s="5"/>
      <c r="W911" s="5"/>
      <c r="X911" s="5"/>
    </row>
    <row r="912" spans="1:24">
      <c r="A912" s="5"/>
      <c r="B912" s="5"/>
      <c r="C912" s="5"/>
      <c r="D912" s="5"/>
      <c r="E912" s="5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5"/>
      <c r="V912" s="5"/>
      <c r="W912" s="5"/>
      <c r="X912" s="5"/>
    </row>
    <row r="913" spans="1:24">
      <c r="A913" s="5"/>
      <c r="B913" s="5"/>
      <c r="C913" s="5"/>
      <c r="D913" s="5"/>
      <c r="E913" s="5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5"/>
      <c r="V913" s="5"/>
      <c r="W913" s="5"/>
      <c r="X913" s="5"/>
    </row>
    <row r="914" spans="1:24">
      <c r="A914" s="5"/>
      <c r="B914" s="5"/>
      <c r="C914" s="5"/>
      <c r="D914" s="5"/>
      <c r="E914" s="5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5"/>
      <c r="V914" s="5"/>
      <c r="W914" s="5"/>
      <c r="X914" s="5"/>
    </row>
    <row r="915" spans="1:24">
      <c r="A915" s="5"/>
      <c r="B915" s="5"/>
      <c r="C915" s="5"/>
      <c r="D915" s="5"/>
      <c r="E915" s="5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5"/>
      <c r="V915" s="5"/>
      <c r="W915" s="5"/>
      <c r="X915" s="5"/>
    </row>
    <row r="916" spans="1:24">
      <c r="A916" s="5"/>
      <c r="B916" s="5"/>
      <c r="C916" s="5"/>
      <c r="D916" s="5"/>
      <c r="E916" s="5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5"/>
      <c r="V916" s="5"/>
      <c r="W916" s="5"/>
      <c r="X916" s="5"/>
    </row>
    <row r="917" spans="1:24">
      <c r="A917" s="5"/>
      <c r="B917" s="5"/>
      <c r="C917" s="5"/>
      <c r="D917" s="5"/>
      <c r="E917" s="5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5"/>
      <c r="V917" s="5"/>
      <c r="W917" s="5"/>
      <c r="X917" s="5"/>
    </row>
    <row r="918" spans="1:24">
      <c r="A918" s="5"/>
      <c r="B918" s="5"/>
      <c r="C918" s="5"/>
      <c r="D918" s="5"/>
      <c r="E918" s="5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5"/>
      <c r="V918" s="5"/>
      <c r="W918" s="5"/>
      <c r="X918" s="5"/>
    </row>
    <row r="919" spans="1:24">
      <c r="A919" s="5"/>
      <c r="B919" s="5"/>
      <c r="C919" s="5"/>
      <c r="D919" s="5"/>
      <c r="E919" s="5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5"/>
      <c r="V919" s="5"/>
      <c r="W919" s="5"/>
      <c r="X919" s="5"/>
    </row>
    <row r="920" spans="1:24">
      <c r="A920" s="5"/>
      <c r="B920" s="5"/>
      <c r="C920" s="5"/>
      <c r="D920" s="5"/>
      <c r="E920" s="5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5"/>
      <c r="V920" s="5"/>
      <c r="W920" s="5"/>
      <c r="X920" s="5"/>
    </row>
    <row r="921" spans="1:24">
      <c r="A921" s="5"/>
      <c r="B921" s="5"/>
      <c r="C921" s="5"/>
      <c r="D921" s="5"/>
      <c r="E921" s="5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5"/>
      <c r="V921" s="5"/>
      <c r="W921" s="5"/>
      <c r="X921" s="5"/>
    </row>
    <row r="922" spans="1:24">
      <c r="A922" s="5"/>
      <c r="B922" s="5"/>
      <c r="C922" s="5"/>
      <c r="D922" s="5"/>
      <c r="E922" s="5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5"/>
      <c r="V922" s="5"/>
      <c r="W922" s="5"/>
      <c r="X922" s="5"/>
    </row>
    <row r="923" spans="1:24">
      <c r="A923" s="5"/>
      <c r="B923" s="5"/>
      <c r="C923" s="5"/>
      <c r="D923" s="5"/>
      <c r="E923" s="5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5"/>
      <c r="V923" s="5"/>
      <c r="W923" s="5"/>
      <c r="X923" s="5"/>
    </row>
    <row r="924" spans="1:24">
      <c r="A924" s="5"/>
      <c r="B924" s="5"/>
      <c r="C924" s="5"/>
      <c r="D924" s="5"/>
      <c r="E924" s="5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5"/>
      <c r="V924" s="5"/>
      <c r="W924" s="5"/>
      <c r="X924" s="5"/>
    </row>
    <row r="925" spans="1:24">
      <c r="A925" s="5"/>
      <c r="B925" s="5"/>
      <c r="C925" s="5"/>
      <c r="D925" s="5"/>
      <c r="E925" s="5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5"/>
      <c r="V925" s="5"/>
      <c r="W925" s="5"/>
      <c r="X925" s="5"/>
    </row>
    <row r="926" spans="1:24">
      <c r="A926" s="5"/>
      <c r="B926" s="5"/>
      <c r="C926" s="5"/>
      <c r="D926" s="5"/>
      <c r="E926" s="5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5"/>
      <c r="V926" s="5"/>
      <c r="W926" s="5"/>
      <c r="X926" s="5"/>
    </row>
    <row r="927" spans="1:24">
      <c r="A927" s="5"/>
      <c r="B927" s="5"/>
      <c r="C927" s="5"/>
      <c r="D927" s="5"/>
      <c r="E927" s="5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5"/>
      <c r="V927" s="5"/>
      <c r="W927" s="5"/>
      <c r="X927" s="5"/>
    </row>
    <row r="928" spans="1:24">
      <c r="A928" s="5"/>
      <c r="B928" s="5"/>
      <c r="C928" s="5"/>
      <c r="D928" s="5"/>
      <c r="E928" s="5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5"/>
      <c r="V928" s="5"/>
      <c r="W928" s="5"/>
      <c r="X928" s="5"/>
    </row>
    <row r="929" spans="1:24">
      <c r="A929" s="5"/>
      <c r="B929" s="5"/>
      <c r="C929" s="5"/>
      <c r="D929" s="5"/>
      <c r="E929" s="5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5"/>
      <c r="V929" s="5"/>
      <c r="W929" s="5"/>
      <c r="X929" s="5"/>
    </row>
    <row r="930" spans="1:24">
      <c r="A930" s="5"/>
      <c r="B930" s="5"/>
      <c r="C930" s="5"/>
      <c r="D930" s="5"/>
      <c r="E930" s="5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5"/>
      <c r="V930" s="5"/>
      <c r="W930" s="5"/>
      <c r="X930" s="5"/>
    </row>
    <row r="931" spans="1:24">
      <c r="A931" s="5"/>
      <c r="B931" s="5"/>
      <c r="C931" s="5"/>
      <c r="D931" s="5"/>
      <c r="E931" s="5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5"/>
      <c r="V931" s="5"/>
      <c r="W931" s="5"/>
      <c r="X931" s="5"/>
    </row>
    <row r="932" spans="1:24">
      <c r="A932" s="5"/>
      <c r="B932" s="5"/>
      <c r="C932" s="5"/>
      <c r="D932" s="5"/>
      <c r="E932" s="5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5"/>
      <c r="V932" s="5"/>
      <c r="W932" s="5"/>
      <c r="X932" s="5"/>
    </row>
    <row r="933" spans="1:24">
      <c r="A933" s="5"/>
      <c r="B933" s="5"/>
      <c r="C933" s="5"/>
      <c r="D933" s="5"/>
      <c r="E933" s="5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5"/>
      <c r="V933" s="5"/>
      <c r="W933" s="5"/>
      <c r="X933" s="5"/>
    </row>
    <row r="934" spans="1:24">
      <c r="A934" s="5"/>
      <c r="B934" s="5"/>
      <c r="C934" s="5"/>
      <c r="D934" s="5"/>
      <c r="E934" s="5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5"/>
      <c r="V934" s="5"/>
      <c r="W934" s="5"/>
      <c r="X934" s="5"/>
    </row>
    <row r="935" spans="1:24">
      <c r="A935" s="5"/>
      <c r="B935" s="5"/>
      <c r="C935" s="5"/>
      <c r="D935" s="5"/>
      <c r="E935" s="5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5"/>
      <c r="V935" s="5"/>
      <c r="W935" s="5"/>
      <c r="X935" s="5"/>
    </row>
    <row r="936" spans="1:24">
      <c r="A936" s="5"/>
      <c r="B936" s="5"/>
      <c r="C936" s="5"/>
      <c r="D936" s="5"/>
      <c r="E936" s="5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5"/>
      <c r="V936" s="5"/>
      <c r="W936" s="5"/>
      <c r="X936" s="5"/>
    </row>
    <row r="937" spans="1:24">
      <c r="A937" s="5"/>
      <c r="B937" s="5"/>
      <c r="C937" s="5"/>
      <c r="D937" s="5"/>
      <c r="E937" s="5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5"/>
      <c r="V937" s="5"/>
      <c r="W937" s="5"/>
      <c r="X937" s="5"/>
    </row>
    <row r="938" spans="1:24">
      <c r="A938" s="5"/>
      <c r="B938" s="5"/>
      <c r="C938" s="5"/>
      <c r="D938" s="5"/>
      <c r="E938" s="5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5"/>
      <c r="V938" s="5"/>
      <c r="W938" s="5"/>
      <c r="X938" s="5"/>
    </row>
    <row r="939" spans="1:24">
      <c r="A939" s="5"/>
      <c r="B939" s="5"/>
      <c r="C939" s="5"/>
      <c r="D939" s="5"/>
      <c r="E939" s="5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5"/>
      <c r="V939" s="5"/>
      <c r="W939" s="5"/>
      <c r="X939" s="5"/>
    </row>
    <row r="940" spans="1:24">
      <c r="A940" s="5"/>
      <c r="B940" s="5"/>
      <c r="C940" s="5"/>
      <c r="D940" s="5"/>
      <c r="E940" s="5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5"/>
      <c r="V940" s="5"/>
      <c r="W940" s="5"/>
      <c r="X940" s="5"/>
    </row>
    <row r="941" spans="1:24">
      <c r="A941" s="5"/>
      <c r="B941" s="5"/>
      <c r="C941" s="5"/>
      <c r="D941" s="5"/>
      <c r="E941" s="5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5"/>
      <c r="V941" s="5"/>
      <c r="W941" s="5"/>
      <c r="X941" s="5"/>
    </row>
    <row r="942" spans="1:24">
      <c r="A942" s="5"/>
      <c r="B942" s="5"/>
      <c r="C942" s="5"/>
      <c r="D942" s="5"/>
      <c r="E942" s="5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5"/>
      <c r="V942" s="5"/>
      <c r="W942" s="5"/>
      <c r="X942" s="5"/>
    </row>
    <row r="943" spans="1:24">
      <c r="A943" s="5"/>
      <c r="B943" s="5"/>
      <c r="C943" s="5"/>
      <c r="D943" s="5"/>
      <c r="E943" s="5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5"/>
      <c r="V943" s="5"/>
      <c r="W943" s="5"/>
      <c r="X943" s="5"/>
    </row>
    <row r="944" spans="1:24">
      <c r="A944" s="5"/>
      <c r="B944" s="5"/>
      <c r="C944" s="5"/>
      <c r="D944" s="5"/>
      <c r="E944" s="5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5"/>
      <c r="V944" s="5"/>
      <c r="W944" s="5"/>
      <c r="X944" s="5"/>
    </row>
    <row r="945" spans="1:24">
      <c r="A945" s="5"/>
      <c r="B945" s="5"/>
      <c r="C945" s="5"/>
      <c r="D945" s="5"/>
      <c r="E945" s="5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5"/>
      <c r="V945" s="5"/>
      <c r="W945" s="5"/>
      <c r="X945" s="5"/>
    </row>
    <row r="946" spans="1:24">
      <c r="A946" s="5"/>
      <c r="B946" s="5"/>
      <c r="C946" s="5"/>
      <c r="D946" s="5"/>
      <c r="E946" s="5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5"/>
      <c r="V946" s="5"/>
      <c r="W946" s="5"/>
      <c r="X946" s="5"/>
    </row>
    <row r="947" spans="1:24">
      <c r="A947" s="5"/>
      <c r="B947" s="5"/>
      <c r="C947" s="5"/>
      <c r="D947" s="5"/>
      <c r="E947" s="5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5"/>
      <c r="V947" s="5"/>
      <c r="W947" s="5"/>
      <c r="X947" s="5"/>
    </row>
    <row r="948" spans="1:24">
      <c r="A948" s="5"/>
      <c r="B948" s="5"/>
      <c r="C948" s="5"/>
      <c r="D948" s="5"/>
      <c r="E948" s="5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5"/>
      <c r="V948" s="5"/>
      <c r="W948" s="5"/>
      <c r="X948" s="5"/>
    </row>
    <row r="949" spans="1:24">
      <c r="A949" s="5"/>
      <c r="B949" s="5"/>
      <c r="C949" s="5"/>
      <c r="D949" s="5"/>
      <c r="E949" s="5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5"/>
      <c r="V949" s="5"/>
      <c r="W949" s="5"/>
      <c r="X949" s="5"/>
    </row>
    <row r="950" spans="1:24">
      <c r="A950" s="5"/>
      <c r="B950" s="5"/>
      <c r="C950" s="5"/>
      <c r="D950" s="5"/>
      <c r="E950" s="5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5"/>
      <c r="V950" s="5"/>
      <c r="W950" s="5"/>
      <c r="X950" s="5"/>
    </row>
    <row r="951" spans="1:24">
      <c r="A951" s="5"/>
      <c r="B951" s="5"/>
      <c r="C951" s="5"/>
      <c r="D951" s="5"/>
      <c r="E951" s="5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5"/>
      <c r="V951" s="5"/>
      <c r="W951" s="5"/>
      <c r="X951" s="5"/>
    </row>
    <row r="952" spans="1:24">
      <c r="A952" s="5"/>
      <c r="B952" s="5"/>
      <c r="C952" s="5"/>
      <c r="D952" s="5"/>
      <c r="E952" s="5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5"/>
      <c r="V952" s="5"/>
      <c r="W952" s="5"/>
      <c r="X952" s="5"/>
    </row>
    <row r="953" spans="1:24">
      <c r="A953" s="5"/>
      <c r="B953" s="5"/>
      <c r="C953" s="5"/>
      <c r="D953" s="5"/>
      <c r="E953" s="5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5"/>
      <c r="V953" s="5"/>
      <c r="W953" s="5"/>
      <c r="X953" s="5"/>
    </row>
    <row r="954" spans="1:24">
      <c r="A954" s="5"/>
      <c r="B954" s="5"/>
      <c r="C954" s="5"/>
      <c r="D954" s="5"/>
      <c r="E954" s="5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5"/>
      <c r="V954" s="5"/>
      <c r="W954" s="5"/>
      <c r="X954" s="5"/>
    </row>
    <row r="955" spans="1:24">
      <c r="A955" s="5"/>
      <c r="B955" s="5"/>
      <c r="C955" s="5"/>
      <c r="D955" s="5"/>
      <c r="E955" s="5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5"/>
      <c r="V955" s="5"/>
      <c r="W955" s="5"/>
      <c r="X955" s="5"/>
    </row>
    <row r="956" spans="1:24">
      <c r="A956" s="5"/>
      <c r="B956" s="5"/>
      <c r="C956" s="5"/>
      <c r="D956" s="5"/>
      <c r="E956" s="5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5"/>
      <c r="V956" s="5"/>
      <c r="W956" s="5"/>
      <c r="X956" s="5"/>
    </row>
    <row r="957" spans="1:24">
      <c r="A957" s="5"/>
      <c r="B957" s="5"/>
      <c r="C957" s="5"/>
      <c r="D957" s="5"/>
      <c r="E957" s="5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5"/>
      <c r="V957" s="5"/>
      <c r="W957" s="5"/>
      <c r="X957" s="5"/>
    </row>
    <row r="958" spans="1:24">
      <c r="A958" s="5"/>
      <c r="B958" s="5"/>
      <c r="C958" s="5"/>
      <c r="D958" s="5"/>
      <c r="E958" s="5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5"/>
      <c r="V958" s="5"/>
      <c r="W958" s="5"/>
      <c r="X958" s="5"/>
    </row>
    <row r="959" spans="1:24">
      <c r="A959" s="5"/>
      <c r="B959" s="5"/>
      <c r="C959" s="5"/>
      <c r="D959" s="5"/>
      <c r="E959" s="5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5"/>
      <c r="V959" s="5"/>
      <c r="W959" s="5"/>
      <c r="X959" s="5"/>
    </row>
    <row r="960" spans="1:24">
      <c r="A960" s="5"/>
      <c r="B960" s="5"/>
      <c r="C960" s="5"/>
      <c r="D960" s="5"/>
      <c r="E960" s="5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5"/>
      <c r="V960" s="5"/>
      <c r="W960" s="5"/>
      <c r="X960" s="5"/>
    </row>
    <row r="961" spans="1:24">
      <c r="A961" s="5"/>
      <c r="B961" s="5"/>
      <c r="C961" s="5"/>
      <c r="D961" s="5"/>
      <c r="E961" s="5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5"/>
      <c r="V961" s="5"/>
      <c r="W961" s="5"/>
      <c r="X961" s="5"/>
    </row>
    <row r="962" spans="1:24">
      <c r="A962" s="5"/>
      <c r="B962" s="5"/>
      <c r="C962" s="5"/>
      <c r="D962" s="5"/>
      <c r="E962" s="5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5"/>
      <c r="V962" s="5"/>
      <c r="W962" s="5"/>
      <c r="X962" s="5"/>
    </row>
    <row r="963" spans="1:24">
      <c r="A963" s="5"/>
      <c r="B963" s="5"/>
      <c r="C963" s="5"/>
      <c r="D963" s="5"/>
      <c r="E963" s="5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5"/>
      <c r="V963" s="5"/>
      <c r="W963" s="5"/>
      <c r="X963" s="5"/>
    </row>
    <row r="964" spans="1:24">
      <c r="A964" s="5"/>
      <c r="B964" s="5"/>
      <c r="C964" s="5"/>
      <c r="D964" s="5"/>
      <c r="E964" s="5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5"/>
      <c r="V964" s="5"/>
      <c r="W964" s="5"/>
      <c r="X964" s="5"/>
    </row>
    <row r="965" spans="1:24">
      <c r="A965" s="5"/>
      <c r="B965" s="5"/>
      <c r="C965" s="5"/>
      <c r="D965" s="5"/>
      <c r="E965" s="5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5"/>
      <c r="V965" s="5"/>
      <c r="W965" s="5"/>
      <c r="X965" s="5"/>
    </row>
    <row r="966" spans="1:24">
      <c r="A966" s="5"/>
      <c r="B966" s="5"/>
      <c r="C966" s="5"/>
      <c r="D966" s="5"/>
      <c r="E966" s="5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5"/>
      <c r="V966" s="5"/>
      <c r="W966" s="5"/>
      <c r="X966" s="5"/>
    </row>
    <row r="967" spans="1:24">
      <c r="A967" s="5"/>
      <c r="B967" s="5"/>
      <c r="C967" s="5"/>
      <c r="D967" s="5"/>
      <c r="E967" s="5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5"/>
      <c r="V967" s="5"/>
      <c r="W967" s="5"/>
      <c r="X967" s="5"/>
    </row>
    <row r="968" spans="1:24">
      <c r="A968" s="5"/>
      <c r="B968" s="5"/>
      <c r="C968" s="5"/>
      <c r="D968" s="5"/>
      <c r="E968" s="5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5"/>
      <c r="V968" s="5"/>
      <c r="W968" s="5"/>
      <c r="X968" s="5"/>
    </row>
    <row r="969" spans="1:24">
      <c r="A969" s="5"/>
      <c r="B969" s="5"/>
      <c r="C969" s="5"/>
      <c r="D969" s="5"/>
      <c r="E969" s="5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5"/>
      <c r="V969" s="5"/>
      <c r="W969" s="5"/>
      <c r="X969" s="5"/>
    </row>
    <row r="970" spans="1:24">
      <c r="A970" s="5"/>
      <c r="B970" s="5"/>
      <c r="C970" s="5"/>
      <c r="D970" s="5"/>
      <c r="E970" s="5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5"/>
      <c r="V970" s="5"/>
      <c r="W970" s="5"/>
      <c r="X970" s="5"/>
    </row>
    <row r="971" spans="1:24">
      <c r="A971" s="5"/>
      <c r="B971" s="5"/>
      <c r="C971" s="5"/>
      <c r="D971" s="5"/>
      <c r="E971" s="5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5"/>
      <c r="V971" s="5"/>
      <c r="W971" s="5"/>
      <c r="X971" s="5"/>
    </row>
    <row r="972" spans="1:24">
      <c r="A972" s="5"/>
      <c r="B972" s="5"/>
      <c r="C972" s="5"/>
      <c r="D972" s="5"/>
      <c r="E972" s="5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5"/>
      <c r="V972" s="5"/>
      <c r="W972" s="5"/>
      <c r="X972" s="5"/>
    </row>
    <row r="973" spans="1:24">
      <c r="A973" s="5"/>
      <c r="B973" s="5"/>
      <c r="C973" s="5"/>
      <c r="D973" s="5"/>
      <c r="E973" s="5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5"/>
      <c r="V973" s="5"/>
      <c r="W973" s="5"/>
      <c r="X973" s="5"/>
    </row>
    <row r="974" spans="1:24">
      <c r="A974" s="5"/>
      <c r="B974" s="5"/>
      <c r="C974" s="5"/>
      <c r="D974" s="5"/>
      <c r="E974" s="5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5"/>
      <c r="V974" s="5"/>
      <c r="W974" s="5"/>
      <c r="X974" s="5"/>
    </row>
    <row r="975" spans="1:24">
      <c r="A975" s="5"/>
      <c r="B975" s="5"/>
      <c r="C975" s="5"/>
      <c r="D975" s="5"/>
      <c r="E975" s="5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5"/>
      <c r="V975" s="5"/>
      <c r="W975" s="5"/>
      <c r="X975" s="5"/>
    </row>
    <row r="976" spans="1:24">
      <c r="A976" s="5"/>
      <c r="B976" s="5"/>
      <c r="C976" s="5"/>
      <c r="D976" s="5"/>
      <c r="E976" s="5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5"/>
      <c r="V976" s="5"/>
      <c r="W976" s="5"/>
      <c r="X976" s="5"/>
    </row>
    <row r="977" spans="1:24">
      <c r="A977" s="5"/>
      <c r="B977" s="5"/>
      <c r="C977" s="5"/>
      <c r="D977" s="5"/>
      <c r="E977" s="5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5"/>
      <c r="V977" s="5"/>
      <c r="W977" s="5"/>
      <c r="X977" s="5"/>
    </row>
    <row r="978" spans="1:24">
      <c r="A978" s="5"/>
      <c r="B978" s="5"/>
      <c r="C978" s="5"/>
      <c r="D978" s="5"/>
      <c r="E978" s="5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5"/>
      <c r="V978" s="5"/>
      <c r="W978" s="5"/>
      <c r="X978" s="5"/>
    </row>
    <row r="979" spans="1:24">
      <c r="A979" s="5"/>
      <c r="B979" s="5"/>
      <c r="C979" s="5"/>
      <c r="D979" s="5"/>
      <c r="E979" s="5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5"/>
      <c r="V979" s="5"/>
      <c r="W979" s="5"/>
      <c r="X979" s="5"/>
    </row>
    <row r="980" spans="1:24">
      <c r="A980" s="5"/>
      <c r="B980" s="5"/>
      <c r="C980" s="5"/>
      <c r="D980" s="5"/>
      <c r="E980" s="5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5"/>
      <c r="V980" s="5"/>
      <c r="W980" s="5"/>
      <c r="X980" s="5"/>
    </row>
    <row r="981" spans="1:24">
      <c r="A981" s="5"/>
      <c r="B981" s="5"/>
      <c r="C981" s="5"/>
      <c r="D981" s="5"/>
      <c r="E981" s="5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5"/>
      <c r="V981" s="5"/>
      <c r="W981" s="5"/>
      <c r="X981" s="5"/>
    </row>
    <row r="982" spans="1:24">
      <c r="A982" s="5"/>
      <c r="B982" s="5"/>
      <c r="C982" s="5"/>
      <c r="D982" s="5"/>
      <c r="E982" s="5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5"/>
      <c r="V982" s="5"/>
      <c r="W982" s="5"/>
      <c r="X982" s="5"/>
    </row>
    <row r="983" spans="1:24">
      <c r="A983" s="5"/>
      <c r="B983" s="5"/>
      <c r="C983" s="5"/>
      <c r="D983" s="5"/>
      <c r="E983" s="5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5"/>
      <c r="V983" s="5"/>
      <c r="W983" s="5"/>
      <c r="X983" s="5"/>
    </row>
    <row r="984" spans="1:24">
      <c r="A984" s="5"/>
      <c r="B984" s="5"/>
      <c r="C984" s="5"/>
      <c r="D984" s="5"/>
      <c r="E984" s="5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5"/>
      <c r="V984" s="5"/>
      <c r="W984" s="5"/>
      <c r="X984" s="5"/>
    </row>
    <row r="985" spans="1:24">
      <c r="A985" s="5"/>
      <c r="B985" s="5"/>
      <c r="C985" s="5"/>
      <c r="D985" s="5"/>
      <c r="E985" s="5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5"/>
      <c r="V985" s="5"/>
      <c r="W985" s="5"/>
      <c r="X985" s="5"/>
    </row>
    <row r="986" spans="1:24">
      <c r="A986" s="5"/>
      <c r="B986" s="5"/>
      <c r="C986" s="5"/>
      <c r="D986" s="5"/>
      <c r="E986" s="5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5"/>
      <c r="V986" s="5"/>
      <c r="W986" s="5"/>
      <c r="X986" s="5"/>
    </row>
    <row r="987" spans="1:24">
      <c r="A987" s="5"/>
      <c r="B987" s="5"/>
      <c r="C987" s="5"/>
      <c r="D987" s="5"/>
      <c r="E987" s="5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5"/>
      <c r="V987" s="5"/>
      <c r="W987" s="5"/>
      <c r="X987" s="5"/>
    </row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18A6-B7E7-4ACD-B818-12EC82A1C9F4}">
  <dimension ref="A1:B5"/>
  <sheetViews>
    <sheetView workbookViewId="0">
      <selection activeCell="B2" sqref="B2"/>
    </sheetView>
  </sheetViews>
  <sheetFormatPr defaultRowHeight="15"/>
  <sheetData>
    <row r="1" spans="1:2">
      <c r="A1" t="s">
        <v>371</v>
      </c>
      <c r="B1" t="s">
        <v>372</v>
      </c>
    </row>
    <row r="2" spans="1:2">
      <c r="A2" t="s">
        <v>180</v>
      </c>
      <c r="B2">
        <v>425</v>
      </c>
    </row>
    <row r="3" spans="1:2">
      <c r="A3" t="s">
        <v>181</v>
      </c>
      <c r="B3">
        <v>380</v>
      </c>
    </row>
    <row r="4" spans="1:2">
      <c r="A4" t="s">
        <v>182</v>
      </c>
      <c r="B4">
        <v>335</v>
      </c>
    </row>
    <row r="5" spans="1:2">
      <c r="A5" t="s">
        <v>183</v>
      </c>
      <c r="B5">
        <v>2035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3A0C-D0FE-4BDC-8F1C-42DE6CCF5084}">
  <dimension ref="A1:A9"/>
  <sheetViews>
    <sheetView tabSelected="1" workbookViewId="0">
      <selection activeCell="T23" sqref="T23"/>
    </sheetView>
  </sheetViews>
  <sheetFormatPr defaultRowHeight="15"/>
  <sheetData>
    <row r="1" spans="1:1">
      <c r="A1" t="s">
        <v>373</v>
      </c>
    </row>
    <row r="2" spans="1:1">
      <c r="A2" t="s">
        <v>185</v>
      </c>
    </row>
    <row r="3" spans="1:1">
      <c r="A3" t="s">
        <v>186</v>
      </c>
    </row>
    <row r="4" spans="1:1">
      <c r="A4" t="s">
        <v>187</v>
      </c>
    </row>
    <row r="5" spans="1:1">
      <c r="A5" t="s">
        <v>188</v>
      </c>
    </row>
    <row r="6" spans="1:1">
      <c r="A6" t="s">
        <v>189</v>
      </c>
    </row>
    <row r="7" spans="1:1">
      <c r="A7" t="s">
        <v>190</v>
      </c>
    </row>
    <row r="8" spans="1:1">
      <c r="A8" t="s">
        <v>191</v>
      </c>
    </row>
    <row r="9" spans="1:1">
      <c r="A9" t="s">
        <v>192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84FF0-2BF5-4867-9EF7-EAAFC6C483C3}">
  <sheetPr codeName="Planilha10"/>
  <dimension ref="A1:A15"/>
  <sheetViews>
    <sheetView workbookViewId="0">
      <selection activeCell="A2" sqref="A2:A9"/>
    </sheetView>
  </sheetViews>
  <sheetFormatPr defaultColWidth="9.140625" defaultRowHeight="15"/>
  <cols>
    <col min="1" max="1" width="72.5703125" bestFit="1" customWidth="1"/>
  </cols>
  <sheetData>
    <row r="1" spans="1:1" ht="19.5" thickBot="1">
      <c r="A1" s="12" t="s">
        <v>361</v>
      </c>
    </row>
    <row r="2" spans="1:1">
      <c r="A2" s="13" t="s">
        <v>185</v>
      </c>
    </row>
    <row r="3" spans="1:1">
      <c r="A3" s="13" t="s">
        <v>186</v>
      </c>
    </row>
    <row r="4" spans="1:1">
      <c r="A4" s="13" t="s">
        <v>187</v>
      </c>
    </row>
    <row r="5" spans="1:1">
      <c r="A5" s="13" t="s">
        <v>188</v>
      </c>
    </row>
    <row r="6" spans="1:1">
      <c r="A6" s="13" t="s">
        <v>189</v>
      </c>
    </row>
    <row r="7" spans="1:1">
      <c r="A7" s="13" t="s">
        <v>190</v>
      </c>
    </row>
    <row r="8" spans="1:1">
      <c r="A8" s="13" t="s">
        <v>191</v>
      </c>
    </row>
    <row r="9" spans="1:1" ht="15.75" thickBot="1">
      <c r="A9" s="14" t="s">
        <v>192</v>
      </c>
    </row>
    <row r="10" spans="1:1">
      <c r="A10" s="5"/>
    </row>
    <row r="14" spans="1:1">
      <c r="A14" s="24"/>
    </row>
    <row r="15" spans="1:1">
      <c r="A15" s="24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F5A62F-77FB-44DA-A43C-097A6CC1B2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CLASSIFICAÇÃO DE BOLSAS</vt:lpstr>
      <vt:lpstr>aux_bolsas</vt:lpstr>
      <vt:lpstr>CLASSIFICAÇÃO DE DESPESAS</vt:lpstr>
      <vt:lpstr>aux_despesas</vt:lpstr>
      <vt:lpstr>CLASSIFICAÇÃO E VALORES DE DIÁR</vt:lpstr>
      <vt:lpstr>aux_diarias</vt:lpstr>
      <vt:lpstr>aux_passagem</vt:lpstr>
      <vt:lpstr>CLASSIFICAÇÃO PASSAGENS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 Werlen</dc:creator>
  <cp:keywords/>
  <dc:description/>
  <cp:lastModifiedBy>Katarina Rosa Lemos</cp:lastModifiedBy>
  <cp:revision/>
  <dcterms:created xsi:type="dcterms:W3CDTF">2006-09-16T00:00:00Z</dcterms:created>
  <dcterms:modified xsi:type="dcterms:W3CDTF">2026-06-01T14:13:36Z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180F1C52B41D47A6929E5E880A8D2D92_12</vt:lpwstr>
  </property>
  <property fmtid="{D5CDD505-2E9C-101B-9397-08002B2CF9AE}" pid="3" name="KSOProductBuildVer">
    <vt:lpwstr>1046-12.2.0.13359</vt:lpwstr>
  </property>
</Properties>
</file>